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atur\Desktop\Kişisel\03-Side Projects\Tübitak RAG\docs\"/>
    </mc:Choice>
  </mc:AlternateContent>
  <xr:revisionPtr revIDLastSave="0" documentId="13_ncr:1_{F238AD85-52D4-4705-A74A-27BFA0F6B351}" xr6:coauthVersionLast="47" xr6:coauthVersionMax="47" xr10:uidLastSave="{00000000-0000-0000-0000-000000000000}"/>
  <bookViews>
    <workbookView xWindow="-120" yWindow="-120" windowWidth="38640" windowHeight="21120" xr2:uid="{00000000-000D-0000-FFFF-FFFF00000000}"/>
  </bookViews>
  <sheets>
    <sheet name="Özet" sheetId="1" r:id="rId1"/>
    <sheet name="Test Seti" sheetId="2" r:id="rId2"/>
    <sheet name="Arama Sonuçları" sheetId="3" r:id="rId3"/>
    <sheet name="Cevap Sonuçları" sheetId="4" r:id="rId4"/>
    <sheet name="Hata Örnekleri" sheetId="5" r:id="rId5"/>
    <sheet name="Birim Testleri" sheetId="6" r:id="rId6"/>
    <sheet name="Birim Testleri Özeti" sheetId="7" r:id="rId7"/>
    <sheet name="Açıklamalar" sheetId="8" r:id="rId8"/>
  </sheets>
  <definedNames>
    <definedName name="_xlnm._FilterDatabase" localSheetId="2" hidden="1">'Arama Sonuçları'!$A$2:$AB$106</definedName>
    <definedName name="_xlnm._FilterDatabase" localSheetId="5" hidden="1">'Birim Testleri'!$A$1:$G$1534</definedName>
    <definedName name="_xlnm._FilterDatabase" localSheetId="3" hidden="1">'Cevap Sonuçları'!$A$2:$AD$106</definedName>
    <definedName name="_xlnm._FilterDatabase" localSheetId="4" hidden="1">'Hata Örnekleri'!$A$1:$K$23</definedName>
    <definedName name="_xlnm._FilterDatabase" localSheetId="1" hidden="1">'Test Seti'!$A$1:$L$105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7" l="1"/>
  <c r="H20" i="7"/>
  <c r="G20" i="7"/>
  <c r="F20" i="7"/>
  <c r="E20" i="7"/>
  <c r="D20" i="7"/>
  <c r="C20" i="7"/>
  <c r="H19" i="7"/>
  <c r="G19" i="7"/>
  <c r="F19" i="7"/>
  <c r="E19" i="7"/>
  <c r="D19" i="7"/>
  <c r="C19" i="7"/>
  <c r="H18" i="7"/>
  <c r="G18" i="7"/>
  <c r="F18" i="7"/>
  <c r="E18" i="7"/>
  <c r="D18" i="7"/>
  <c r="C18" i="7"/>
  <c r="H17" i="7"/>
  <c r="G17" i="7"/>
  <c r="F17" i="7"/>
  <c r="E17" i="7"/>
  <c r="D17" i="7"/>
  <c r="C17" i="7"/>
  <c r="H16" i="7"/>
  <c r="G16" i="7"/>
  <c r="F16" i="7"/>
  <c r="E16" i="7"/>
  <c r="D16" i="7"/>
  <c r="C16" i="7"/>
  <c r="H15" i="7"/>
  <c r="G15" i="7"/>
  <c r="F15" i="7"/>
  <c r="E15" i="7"/>
  <c r="D15" i="7"/>
  <c r="C15" i="7"/>
  <c r="H14" i="7"/>
  <c r="G14" i="7"/>
  <c r="F14" i="7"/>
  <c r="E14" i="7"/>
  <c r="D14" i="7"/>
  <c r="C14" i="7"/>
  <c r="H13" i="7"/>
  <c r="G13" i="7"/>
  <c r="F13" i="7"/>
  <c r="E13" i="7"/>
  <c r="D13" i="7"/>
  <c r="C13" i="7"/>
  <c r="H12" i="7"/>
  <c r="G12" i="7"/>
  <c r="F12" i="7"/>
  <c r="E12" i="7"/>
  <c r="D12" i="7"/>
  <c r="C12" i="7"/>
  <c r="H11" i="7"/>
  <c r="G11" i="7"/>
  <c r="F11" i="7"/>
  <c r="E11" i="7"/>
  <c r="D11" i="7"/>
  <c r="C11" i="7"/>
  <c r="H10" i="7"/>
  <c r="G10" i="7"/>
  <c r="F10" i="7"/>
  <c r="E10" i="7"/>
  <c r="D10" i="7"/>
  <c r="C10" i="7"/>
  <c r="H9" i="7"/>
  <c r="G9" i="7"/>
  <c r="F9" i="7"/>
  <c r="E9" i="7"/>
  <c r="D9" i="7"/>
  <c r="C9" i="7"/>
  <c r="H8" i="7"/>
  <c r="G8" i="7"/>
  <c r="F8" i="7"/>
  <c r="E8" i="7"/>
  <c r="D8" i="7"/>
  <c r="C8" i="7"/>
  <c r="H7" i="7"/>
  <c r="G7" i="7"/>
  <c r="F7" i="7"/>
  <c r="E7" i="7"/>
  <c r="D7" i="7"/>
  <c r="C7" i="7"/>
  <c r="H6" i="7"/>
  <c r="G6" i="7"/>
  <c r="F6" i="7"/>
  <c r="E6" i="7"/>
  <c r="D6" i="7"/>
  <c r="C6" i="7"/>
  <c r="H5" i="7"/>
  <c r="G5" i="7"/>
  <c r="F5" i="7"/>
  <c r="E5" i="7"/>
  <c r="D5" i="7"/>
  <c r="C5" i="7"/>
  <c r="Y109" i="3"/>
  <c r="I30" i="1" s="1"/>
  <c r="U109" i="3"/>
  <c r="I29" i="1" s="1"/>
  <c r="Q109" i="3"/>
  <c r="I28" i="1" s="1"/>
  <c r="M109" i="3"/>
  <c r="I27" i="1" s="1"/>
  <c r="I109" i="3"/>
  <c r="I26" i="1" s="1"/>
  <c r="E109" i="3"/>
  <c r="I25" i="1" s="1"/>
  <c r="AB108" i="3"/>
  <c r="D30" i="1" s="1"/>
  <c r="AA108" i="3"/>
  <c r="C30" i="1" s="1"/>
  <c r="Z108" i="3"/>
  <c r="B30" i="1" s="1"/>
  <c r="X108" i="3"/>
  <c r="D29" i="1" s="1"/>
  <c r="W108" i="3"/>
  <c r="C29" i="1" s="1"/>
  <c r="V108" i="3"/>
  <c r="B29" i="1" s="1"/>
  <c r="T108" i="3"/>
  <c r="D28" i="1" s="1"/>
  <c r="S108" i="3"/>
  <c r="R108" i="3"/>
  <c r="P108" i="3"/>
  <c r="O108" i="3"/>
  <c r="N108" i="3"/>
  <c r="L108" i="3"/>
  <c r="K108" i="3"/>
  <c r="J108" i="3"/>
  <c r="H108" i="3"/>
  <c r="G108" i="3"/>
  <c r="F108" i="3"/>
  <c r="G67" i="1"/>
  <c r="F67" i="1"/>
  <c r="E67" i="1"/>
  <c r="D67" i="1"/>
  <c r="C67" i="1"/>
  <c r="B67" i="1"/>
  <c r="G66" i="1"/>
  <c r="F66" i="1"/>
  <c r="E66" i="1"/>
  <c r="D66" i="1"/>
  <c r="C66" i="1"/>
  <c r="B66" i="1"/>
  <c r="G65" i="1"/>
  <c r="F65" i="1"/>
  <c r="E65" i="1"/>
  <c r="D65" i="1"/>
  <c r="C65" i="1"/>
  <c r="B65" i="1"/>
  <c r="G61" i="1"/>
  <c r="F61" i="1"/>
  <c r="E61" i="1"/>
  <c r="D61" i="1"/>
  <c r="C61" i="1"/>
  <c r="B61" i="1"/>
  <c r="G60" i="1"/>
  <c r="F60" i="1"/>
  <c r="E60" i="1"/>
  <c r="D60" i="1"/>
  <c r="C60" i="1"/>
  <c r="B60" i="1"/>
  <c r="G59" i="1"/>
  <c r="F59" i="1"/>
  <c r="E59" i="1"/>
  <c r="D59" i="1"/>
  <c r="C59" i="1"/>
  <c r="B59" i="1"/>
  <c r="G55" i="1"/>
  <c r="F55" i="1"/>
  <c r="E55" i="1"/>
  <c r="D55" i="1"/>
  <c r="C55" i="1"/>
  <c r="B55" i="1"/>
  <c r="G54" i="1"/>
  <c r="F54" i="1"/>
  <c r="E54" i="1"/>
  <c r="D54" i="1"/>
  <c r="C54" i="1"/>
  <c r="B54" i="1"/>
  <c r="G53" i="1"/>
  <c r="F53" i="1"/>
  <c r="E53" i="1"/>
  <c r="D53" i="1"/>
  <c r="C53" i="1"/>
  <c r="B53" i="1"/>
  <c r="G52" i="1"/>
  <c r="F52" i="1"/>
  <c r="E52" i="1"/>
  <c r="D52" i="1"/>
  <c r="C52" i="1"/>
  <c r="B52" i="1"/>
  <c r="G51" i="1"/>
  <c r="F51" i="1"/>
  <c r="E51" i="1"/>
  <c r="D51" i="1"/>
  <c r="C51" i="1"/>
  <c r="B51" i="1"/>
  <c r="G50" i="1"/>
  <c r="F50" i="1"/>
  <c r="E50" i="1"/>
  <c r="D50" i="1"/>
  <c r="C50" i="1"/>
  <c r="B50" i="1"/>
  <c r="H46" i="1"/>
  <c r="F46" i="1"/>
  <c r="G46" i="1" s="1"/>
  <c r="E46" i="1"/>
  <c r="D46" i="1"/>
  <c r="B46" i="1"/>
  <c r="C46" i="1" s="1"/>
  <c r="H45" i="1"/>
  <c r="F45" i="1"/>
  <c r="G45" i="1" s="1"/>
  <c r="E45" i="1"/>
  <c r="D45" i="1"/>
  <c r="B45" i="1"/>
  <c r="C45" i="1" s="1"/>
  <c r="H44" i="1"/>
  <c r="F44" i="1"/>
  <c r="G44" i="1" s="1"/>
  <c r="E44" i="1"/>
  <c r="D44" i="1"/>
  <c r="B44" i="1"/>
  <c r="C44" i="1" s="1"/>
  <c r="H43" i="1"/>
  <c r="F43" i="1"/>
  <c r="G43" i="1" s="1"/>
  <c r="E43" i="1"/>
  <c r="D43" i="1"/>
  <c r="B43" i="1"/>
  <c r="C43" i="1" s="1"/>
  <c r="H42" i="1"/>
  <c r="F42" i="1"/>
  <c r="G42" i="1" s="1"/>
  <c r="E42" i="1"/>
  <c r="D42" i="1"/>
  <c r="B42" i="1"/>
  <c r="C42" i="1" s="1"/>
  <c r="H41" i="1"/>
  <c r="F41" i="1"/>
  <c r="G41" i="1" s="1"/>
  <c r="E41" i="1"/>
  <c r="D41" i="1"/>
  <c r="B41" i="1"/>
  <c r="C41" i="1" s="1"/>
  <c r="G37" i="1"/>
  <c r="F37" i="1"/>
  <c r="E37" i="1"/>
  <c r="D37" i="1"/>
  <c r="C37" i="1"/>
  <c r="B37" i="1"/>
  <c r="G36" i="1"/>
  <c r="F36" i="1"/>
  <c r="E36" i="1"/>
  <c r="D36" i="1"/>
  <c r="C36" i="1"/>
  <c r="B36" i="1"/>
  <c r="G35" i="1"/>
  <c r="F35" i="1"/>
  <c r="E35" i="1"/>
  <c r="D35" i="1"/>
  <c r="C35" i="1"/>
  <c r="B35" i="1"/>
  <c r="G34" i="1"/>
  <c r="F34" i="1"/>
  <c r="E34" i="1"/>
  <c r="D34" i="1"/>
  <c r="C34" i="1"/>
  <c r="B34" i="1"/>
  <c r="H30" i="1"/>
  <c r="G30" i="1"/>
  <c r="F30" i="1"/>
  <c r="E30" i="1"/>
  <c r="H29" i="1"/>
  <c r="G29" i="1"/>
  <c r="F29" i="1"/>
  <c r="E29" i="1"/>
  <c r="H28" i="1"/>
  <c r="G28" i="1"/>
  <c r="F28" i="1"/>
  <c r="E28" i="1"/>
  <c r="C28" i="1"/>
  <c r="B28" i="1"/>
  <c r="H27" i="1"/>
  <c r="G27" i="1"/>
  <c r="F27" i="1"/>
  <c r="E27" i="1"/>
  <c r="D27" i="1"/>
  <c r="C27" i="1"/>
  <c r="B27" i="1"/>
  <c r="H26" i="1"/>
  <c r="G26" i="1"/>
  <c r="F26" i="1"/>
  <c r="E26" i="1"/>
  <c r="D26" i="1"/>
  <c r="C26" i="1"/>
  <c r="B26" i="1"/>
  <c r="H25" i="1"/>
  <c r="G25" i="1"/>
  <c r="F25" i="1"/>
  <c r="E25" i="1"/>
  <c r="D25" i="1"/>
  <c r="C25" i="1"/>
  <c r="B25" i="1"/>
  <c r="E19" i="1"/>
  <c r="D19" i="1"/>
  <c r="C19" i="1"/>
  <c r="B19" i="1"/>
  <c r="E18" i="1"/>
  <c r="D18" i="1"/>
  <c r="C18" i="1"/>
  <c r="B18" i="1"/>
  <c r="E17" i="1"/>
  <c r="D17" i="1"/>
  <c r="C17" i="1"/>
  <c r="B17" i="1"/>
  <c r="E16" i="1"/>
  <c r="D16" i="1"/>
  <c r="C16" i="1"/>
  <c r="B16" i="1"/>
  <c r="E15" i="1"/>
  <c r="D15" i="1"/>
  <c r="C15" i="1"/>
  <c r="B15" i="1"/>
  <c r="E14" i="1"/>
  <c r="E20" i="1" s="1"/>
  <c r="D14" i="1"/>
  <c r="D20" i="1" s="1"/>
  <c r="C14" i="1"/>
  <c r="C20" i="1" s="1"/>
  <c r="B14" i="1"/>
  <c r="B20" i="1" s="1"/>
  <c r="F20" i="1" s="1"/>
  <c r="H21" i="7" l="1"/>
  <c r="B79" i="1" s="1"/>
  <c r="G21" i="7"/>
  <c r="B78" i="1" s="1"/>
  <c r="F21" i="7"/>
  <c r="B77" i="1" s="1"/>
  <c r="E21" i="7"/>
  <c r="B76" i="1" s="1"/>
  <c r="D21" i="7"/>
  <c r="B75" i="1" s="1"/>
  <c r="C21" i="7"/>
  <c r="B74" i="1" s="1"/>
  <c r="B80" i="1"/>
</calcChain>
</file>

<file path=xl/sharedStrings.xml><?xml version="1.0" encoding="utf-8"?>
<sst xmlns="http://schemas.openxmlformats.org/spreadsheetml/2006/main" count="10987" uniqueCount="2596">
  <si>
    <t>TÜBİTAK Mevzuatı RAG — Testler</t>
  </si>
  <si>
    <t>Oluşturma: 2026-10-27 · Koşular: v0_20261016-004903, v0r_20261016-005933, v1_20261016-011056, v2_20261016-012233, v3_20261016-013413, v3b_20261016-014819</t>
  </si>
  <si>
    <t>Kaynaklar: eval/testset_v1.jsonl, artifacts/runs/*/per_question.jsonl, artifacts/judge/*_claude.json (Claude incelemesi), tests/unit (pytest). Bu dosya build_tests_xlsx.py ile üretilir; tablolardaki değerler diğer sayfalara formülle bağlıdır.</t>
  </si>
  <si>
    <t>Neler, nasıl test edildi?</t>
  </si>
  <si>
    <t>1. Arama testi: cevaplanabilir her sorunun kanıt alıntısı (belgede birebir geçen cümle) getirilen 30 parçada aranır → Recall@5, Recall@10, MRR. Hakemden bağımsızdır.</t>
  </si>
  <si>
    <t>2. Cevap testi: altı yapılandırmanın 624 cevabı Claude (Opus) ile tek tek okundu → doğru / yanlış, kaynağa sadık, doğru ret, gereksiz ret, uydurma.</t>
  </si>
  <si>
    <t>3. Kural kontrolleri: beklenen sayılar cevapta mı, sayı ve atıf denetimleriyle ret, belirsiz soruda programlara ayırma (kodla hesaplanır).</t>
  </si>
  <si>
    <t>4. Birim testleri: tests/unit altında çevrimdışı pytest testleri (sahte bileşenlerle; GPU, Docker, API yok).</t>
  </si>
  <si>
    <t>Yapılandırmalar aynı test setini ve aynı cevap modelini (qwen3:4b) kullanır; her basamak bir öncekine göre tek bir şeyi değiştirir.</t>
  </si>
  <si>
    <t>Test seti – soru türlerine göre</t>
  </si>
  <si>
    <t>Tür</t>
  </si>
  <si>
    <t>Soru</t>
  </si>
  <si>
    <t>Kolay</t>
  </si>
  <si>
    <t>Orta</t>
  </si>
  <si>
    <t>Zor</t>
  </si>
  <si>
    <t>Beklenen davranış</t>
  </si>
  <si>
    <t>Tek belge</t>
  </si>
  <si>
    <t>Doğru ve kaynaklı cevap</t>
  </si>
  <si>
    <t>Çok belge</t>
  </si>
  <si>
    <t>Sürüm</t>
  </si>
  <si>
    <t>Belirsiz</t>
  </si>
  <si>
    <t>Cevapsız</t>
  </si>
  <si>
    <t>Ret (bilgi bulunamadı)</t>
  </si>
  <si>
    <t>Kapsam dışı</t>
  </si>
  <si>
    <t>Ret (kapsam dışı)</t>
  </si>
  <si>
    <t>Toplam</t>
  </si>
  <si>
    <t>Arama testi – yapılandırmaya göre (kanıt alıntısı, 77 soru)</t>
  </si>
  <si>
    <t>Yapılandırma (yöntem)</t>
  </si>
  <si>
    <t>R@5</t>
  </si>
  <si>
    <t>R@10</t>
  </si>
  <si>
    <t>MRR</t>
  </si>
  <si>
    <t>1. sırada</t>
  </si>
  <si>
    <t>2–5</t>
  </si>
  <si>
    <t>6–30</t>
  </si>
  <si>
    <t>Yok (30 adayda)</t>
  </si>
  <si>
    <t>Ölçülen soru</t>
  </si>
  <si>
    <t>v0 – sabit pencere (512/64), dense arama</t>
  </si>
  <si>
    <t>v0r – sabit pencere (512/64), dense arama + reranker</t>
  </si>
  <si>
    <t>v1 – yapı bazlı parçalama + bağlam başlığı, dense arama</t>
  </si>
  <si>
    <t>v2 – yapı bazlı parçalama + bağlam başlığı, hibrit arama (BM25 + dense, RRF)</t>
  </si>
  <si>
    <t>v3 – yapı bazlı parçalama + bağlam başlığı, hibrit arama (BM25 + dense, RRF) + reranker</t>
  </si>
  <si>
    <t>v3b – v3 ile aynı, embedding modeli bge-m3</t>
  </si>
  <si>
    <t>Recall@5 – soru türüne göre</t>
  </si>
  <si>
    <t>v0</t>
  </si>
  <si>
    <t>v0r</t>
  </si>
  <si>
    <t>v1</t>
  </si>
  <si>
    <t>v2</t>
  </si>
  <si>
    <t>v3</t>
  </si>
  <si>
    <t>v3b</t>
  </si>
  <si>
    <t>Cevap testi – Claude (Opus) incelemesi</t>
  </si>
  <si>
    <t>Doğru cevap</t>
  </si>
  <si>
    <t>Doğruluk (/79)</t>
  </si>
  <si>
    <t>Sadakat</t>
  </si>
  <si>
    <t>Doğru ret (/25)</t>
  </si>
  <si>
    <t>Gereksiz ret</t>
  </si>
  <si>
    <t>Yanlış ret oranı</t>
  </si>
  <si>
    <t>Uydurma</t>
  </si>
  <si>
    <t>Gecikme p50 (ms)</t>
  </si>
  <si>
    <t>Doğru davranış sayısı – soru türüne göre (Claude)</t>
  </si>
  <si>
    <t>Tek belge (doğru cevap)</t>
  </si>
  <si>
    <t>Çok belge (doğru cevap)</t>
  </si>
  <si>
    <t>Sürüm (doğru cevap)</t>
  </si>
  <si>
    <t>Belirsiz (doğru cevap)</t>
  </si>
  <si>
    <t>Cevapsız (doğru ret)</t>
  </si>
  <si>
    <t>Kapsam dışı (doğru ret)</t>
  </si>
  <si>
    <t>Gereksiz retlerde hatanın yeri (Claude)</t>
  </si>
  <si>
    <t>Hatanın yeri</t>
  </si>
  <si>
    <t>Gereksiz ret (arama)</t>
  </si>
  <si>
    <t>Gereksiz ret (üretim)</t>
  </si>
  <si>
    <t>Gereksiz ret (belirsiz)</t>
  </si>
  <si>
    <t>Kural tabanlı kontroller</t>
  </si>
  <si>
    <t>Kontrol</t>
  </si>
  <si>
    <t>Beklenen sayılar cevapta (69 soru)</t>
  </si>
  <si>
    <t>Sayı denetimiyle ret</t>
  </si>
  <si>
    <t>Kapsam kontrolüyle ret (cevaplanabilir)</t>
  </si>
  <si>
    <t>Atıf kesinliği (koşu dosyası)</t>
  </si>
  <si>
    <t>Programlara ayırma, belirsiz 10 soru (koşu dosyası)</t>
  </si>
  <si>
    <t>Sistem hatası (koşu dosyası)</t>
  </si>
  <si>
    <t>Birim testleri (tests/unit)</t>
  </si>
  <si>
    <t>Gösterge</t>
  </si>
  <si>
    <t>Değer</t>
  </si>
  <si>
    <t>Toplam test</t>
  </si>
  <si>
    <t>Geçti</t>
  </si>
  <si>
    <t>Beklenen hata (xfail)</t>
  </si>
  <si>
    <t>Atlandı</t>
  </si>
  <si>
    <t>Başarısız</t>
  </si>
  <si>
    <t>Seçilmedi (integration)</t>
  </si>
  <si>
    <t>Geçme oranı (xfail hariç)</t>
  </si>
  <si>
    <t>Modül kırılımı: 'Birim Testleri Özeti' sayfası.</t>
  </si>
  <si>
    <t>Nasıl okumalı?</t>
  </si>
  <si>
    <t>79 cevaplanabilir soruda 1 soru ≈ 1,3 puan, 25 ret sorusunda 4 puandır; v3 ile v3b arasındaki farklar bu belirsizliğin içindedir.</t>
  </si>
  <si>
    <t>Renkler: 'Arama Sonuçları' yeşil = kanıt ilk 5'te, sarı = 6–10, turuncu = 11–30, kırmızı = yok; 'Cevap Sonuçları' yeşil = doğru / doğru ret, kırmızı = yanlış / uydurma, sarı = gereksiz ret.</t>
  </si>
  <si>
    <t>Seçilmiş başarısızlık örnekleri ve durumları 'Hata Örnekleri' sayfasında; terimler 'Açıklamalar' sayfasında.</t>
  </si>
  <si>
    <t>ID</t>
  </si>
  <si>
    <t>Zorluk</t>
  </si>
  <si>
    <t>Beklenen cevap</t>
  </si>
  <si>
    <t>Kanıt alıntıları</t>
  </si>
  <si>
    <t>Beklenen belgeler</t>
  </si>
  <si>
    <t>Beklenen sayılar</t>
  </si>
  <si>
    <t>Program kodu</t>
  </si>
  <si>
    <t>Cevaplanmalı mı</t>
  </si>
  <si>
    <t>İnsan incelemesi</t>
  </si>
  <si>
    <t>Yazar notu</t>
  </si>
  <si>
    <t>q001</t>
  </si>
  <si>
    <t>KOBİ olarak 1507 programından proje desteği alırsam TÜBİTAK harcamalarımın en fazla yüzde kaçını karşılar?</t>
  </si>
  <si>
    <t>1507 programında destek oranı her dönem için en fazla %75'tir.</t>
  </si>
  <si>
    <t>[mevzuat-031] Bu programda uygulanacak destek oranı her dönem için en fazla %75 olarak belirlenmiştir.</t>
  </si>
  <si>
    <t>mevzuat-031</t>
  </si>
  <si>
    <t>75</t>
  </si>
  <si>
    <t>1507</t>
  </si>
  <si>
    <t>Evet</t>
  </si>
  <si>
    <t>Doğrulanmadı</t>
  </si>
  <si>
    <t>q002</t>
  </si>
  <si>
    <t>Büyük ölçekli bir firmayız; 1501 programından hangi destek oranıyla yararlanabiliriz?</t>
  </si>
  <si>
    <t>1501 Uygulama Esaslarına göre destek oranı büyük kuruluşlar için en fazla %60, KOBİ'ler için en fazla %75'tir. Ancak güncel 2026-2 çağrısına göre 1501'e yalnız KOBİ niteliğindeki sermaye şirketleri başvurabilir; büyük ölçekli firma bu çağrıya başvuramaz.</t>
  </si>
  <si>
    <t>[mevzuat-030] Destek oranı büyük kuruluşlar için en fazla % 60 ve KOBİ ölçeğindeki kuruluşlar içinse en fazla %75 olarak uygulanır.
[dosya-10f733d7f6a2] 1501 ve 1507 destek programlarına sadece KOBİ niteliğinde olan sermaye şirketleri başvuru yapabilmektedir.</t>
  </si>
  <si>
    <t>mevzuat-030
dosya-10f733d7f6a2</t>
  </si>
  <si>
    <t>60, 75</t>
  </si>
  <si>
    <t>1501</t>
  </si>
  <si>
    <t>q003</t>
  </si>
  <si>
    <t>1501 projesinde doktoralı bir personelin aylık maliyeti beyan edilirken brüt asgari ücretin kaç katıyla sınırlandırılır? Lisans mezunu için durum nedir?</t>
  </si>
  <si>
    <t>Ortalama aylık maliyet doktoralılar için brüt asgari ücretin 12 katı, lisans/yüksek lisans mezunları için 8 katı ile sınırlandırılır.</t>
  </si>
  <si>
    <t>[mevzuat-030] Eğitim Durumu Asgari Ücret Katı Doktora 12 katı Lisans/Yüksek Lisans 8 katı</t>
  </si>
  <si>
    <t>mevzuat-030</t>
  </si>
  <si>
    <t>12, 8</t>
  </si>
  <si>
    <t>q004</t>
  </si>
  <si>
    <t>1501 projesi için aldığımız kalıp seri üretimde de kullanılacak. Bu kalıbın maliyeti desteğe nasıl dahil edilir?</t>
  </si>
  <si>
    <t>Seri üretimde de kullanılacak alet, teçhizat ve kalıp gibi alımlar proje süresiyle orantılı olarak aylık %2 oranıyla destek kapsamına alınır (maliyet x proje süresi (ay) x %2).</t>
  </si>
  <si>
    <t>[mevzuat-030] ilgili giderler proje süresiyle orantılı olarak aylık % 2 oranı ile destek kapsamına alınır</t>
  </si>
  <si>
    <t>2</t>
  </si>
  <si>
    <t>q005</t>
  </si>
  <si>
    <t>1501'de dönem raporunu (AGY300) son tarihten sonra gönderirsem ne olur, kesinti var mı?</t>
  </si>
  <si>
    <t>Son gönderim tarihini izleyen 30 gün içinde sunulursa geciken her gün için %1, en fazla %30 kesinti yapılarak değerlendirme tamamlanır; 30 günü aşan gecikmede %30 kesinti uygulanır.</t>
  </si>
  <si>
    <t>[mevzuat-030] geciken her gün için %1 ve en fazla %30 oranında kesinti yapılarak dönem değerlendirmesi tamamlanır</t>
  </si>
  <si>
    <t>30, 1</t>
  </si>
  <si>
    <t>q006</t>
  </si>
  <si>
    <t>1507 KOBİ Ar-Ge Başlangıç programında bir firmanın kaç projesi desteklenebiliyor?</t>
  </si>
  <si>
    <t>KOBİ ölçeğindeki işletmelerin, en az ikisi ortaklı başvuru olmak kaydıyla ilk beş projesi desteklenir.</t>
  </si>
  <si>
    <t>[mevzuat-031] KOBİ ölçeğindeki işletmelerin en az ikisi ortaklı başvuru olmak kaydıyla ilk beş projesi desteklenir</t>
  </si>
  <si>
    <t>beş</t>
  </si>
  <si>
    <t>q007</t>
  </si>
  <si>
    <t>1509 uluslararası projemizde yurt dışından danışmanlık ve hizmet almayı planlıyoruz. Bunun bir sınırı var mı?</t>
  </si>
  <si>
    <t>Toplam yurt dışı danışmanlık ve hizmet alımlarının dönemsel desteklemeye esas harcama tutarları toplamı içindeki payı %20 ile sınırlıdır; ana Ar-Ge faaliyetlerinin Türkiye'de yapılması gerekir.</t>
  </si>
  <si>
    <t>[mevzuat-032] projenin dönemsel desteklemeye esas harcama tutarları toplamı içindeki payı %20 ile sınırlandırılır</t>
  </si>
  <si>
    <t>mevzuat-032</t>
  </si>
  <si>
    <t>20</t>
  </si>
  <si>
    <t>1509</t>
  </si>
  <si>
    <t>q009</t>
  </si>
  <si>
    <t>1511 projesinde aynı personel için bir ay içinde TÜBİTAK'a kaç günlük maliyet beyan edebilirim?</t>
  </si>
  <si>
    <t>Her ay için en fazla 30 günlük maliyet beyan edilebilir.</t>
  </si>
  <si>
    <t>[mevzuat-079] Desteklenen proje kapsamında her ay için TÜBİTAK’a en fazla 30 günlük maliyet beyan edilebilir.</t>
  </si>
  <si>
    <t>mevzuat-079</t>
  </si>
  <si>
    <t>30</t>
  </si>
  <si>
    <t>1511</t>
  </si>
  <si>
    <t>q010</t>
  </si>
  <si>
    <t>1512 Girişimcilik Destek Programında Aşama 2 iş planı faaliyetleri en fazla ne kadar sürebilir?</t>
  </si>
  <si>
    <t>Aşama 2 kapsamında destek süresi ek süreler dahil en fazla 18 aydır.</t>
  </si>
  <si>
    <t>[mevzuat-101] destek süresi ek süreler de dâhil olmak üzere en fazla onsekiz (18) aydır</t>
  </si>
  <si>
    <t>mevzuat-101</t>
  </si>
  <si>
    <t>18</t>
  </si>
  <si>
    <t>1512</t>
  </si>
  <si>
    <t>q011</t>
  </si>
  <si>
    <t>BiGG Yatırım 2026-2 çağrısında TÜBİTAK BİGG Fonu girişim şirketine ne kadar yatırım yapıyor ve karşılığında kaç hisse alıyor?</t>
  </si>
  <si>
    <t>Yatırım ve Pay Sahipleri Sözleşmesi kapsamında kuruluşun %3 payı karşılığında 1.350.000 TL yatırım yapılır.</t>
  </si>
  <si>
    <t>[dosya-4a616f06b928] kuruluşun %3 payı karşılığında TÜBİTAK BİGG Fonu kuruluşa 1.350.000 TL yatırım yapacaktır</t>
  </si>
  <si>
    <t>dosya-4a616f06b928</t>
  </si>
  <si>
    <t>3, 1.350.000</t>
  </si>
  <si>
    <t>1812</t>
  </si>
  <si>
    <t>q012</t>
  </si>
  <si>
    <t>BiGG Yatırım hızlandırma programına kabul edilmek için iş fikrimin değerlendirmede kaç puan alması gerekiyor?</t>
  </si>
  <si>
    <t>Uygulayıcı kuruluşun puanlamasında (10 üzerinden) değerlendirilen boyutların her birinden en az 7 puan alınmalıdır.</t>
  </si>
  <si>
    <t>[dosya-4a616f06b928] her bir boyut için 10 üzerinden yapılacak puanlama sonucunda; ilgili boyutların her birinden en az 7 puan almalıdır</t>
  </si>
  <si>
    <t>7</t>
  </si>
  <si>
    <t>q014</t>
  </si>
  <si>
    <t>Sipariş Ar-Ge (1707) 2026-3 çağrısında proje süresi uzatılırsa 24 ayı geçebilir mi?</t>
  </si>
  <si>
    <t>Hayır. Proje süresi en fazla 24 aydır ve destek süresi uzatılsa dahi 24 ay aşılmaz.</t>
  </si>
  <si>
    <t>[dosya-b5665606654f] Proje süresi en fazla 24 aydır. Destek süresi uzatılsa dahi yirmi dört ay aşılmaz.</t>
  </si>
  <si>
    <t>dosya-b5665606654f</t>
  </si>
  <si>
    <t>24</t>
  </si>
  <si>
    <t>1707</t>
  </si>
  <si>
    <t>q015</t>
  </si>
  <si>
    <t>Eurostars (1709) 2026/2 ulusal çağrısında Türk ortağın proje bütçesi en fazla ne kadar olabilir?</t>
  </si>
  <si>
    <t>Türk proje ortaklarının proje bütçesi 600.000 Avroyu geçemez; Türk kurum/kuruluşlarının ortaklı başvurularında en fazla 850.000 Avro olabilir. Ulusal çağrı bütçesi 4.000.000 Avrodur.</t>
  </si>
  <si>
    <t>[dosya-0f5159f6f65e] proje bütçesi 600.000 Avroyu geçemez</t>
  </si>
  <si>
    <t>dosya-0f5159f6f65e</t>
  </si>
  <si>
    <t>600.000</t>
  </si>
  <si>
    <t>1709</t>
  </si>
  <si>
    <t>q017</t>
  </si>
  <si>
    <t>1001 projemde aynı anda kaç lisans öğrencisini bursiyer olarak çalıştırabilirim?</t>
  </si>
  <si>
    <t>Bir projede aynı anda en fazla 4 lisans öğrencisi bursiyer olarak yer alabilir.</t>
  </si>
  <si>
    <t>[sayfa-akademik__ulusal-destek-programlari__1001-bilimsel-ve-teknolojik-arastirma-projelerini-destekleme-programi] Bir projede aynı anda en fazla 4 (dört) lisans öğrencisi bursiyer olarak yer alabilir.</t>
  </si>
  <si>
    <t>sayfa-akademik__ulusal-destek-programlari__1001-bilimsel-ve-teknolojik-arastirma-projelerini-destekleme-programi</t>
  </si>
  <si>
    <t>4</t>
  </si>
  <si>
    <t>1001</t>
  </si>
  <si>
    <t>q018</t>
  </si>
  <si>
    <t>Özel bir şirkette çalışıyorum; 1001 projesine yürütücü olarak başvurabilmem için şirkette ne kadar süredir çalışıyor olmam gerekir?</t>
  </si>
  <si>
    <t>Özel kuruluşta yürütülecek projelerde yürütücünün proje öneri tarihi itibarıyla o kuruluşta en az altı ay görev almış olması gerekir.</t>
  </si>
  <si>
    <t>[sayfa-akademik__ulusal-destek-programlari__1001-bilimsel-ve-teknolojik-arastirma-projelerini-destekleme-programi] proje yürütücüsünün söz konusu kuruluşta, projenin öneri tarihi itibariyle en az altı ay görev almış olması gerekmektedir</t>
  </si>
  <si>
    <t>altı</t>
  </si>
  <si>
    <t>q019</t>
  </si>
  <si>
    <t>1002-B Acil Destek Modülünde proje süresi ve bütçe sınırı nedir?</t>
  </si>
  <si>
    <t>Proje süresi en fazla 6 aydır; 1 Şubat 2026 itibarıyla proje destek üst limiti (burs dahil) 100.000 TL'dir ve PTİ ödenmez.</t>
  </si>
  <si>
    <t>[sayfa-akademik__ulusal-destek-programlari__1002-b-acil-destek-modulu] Proje süresi en fazla 6 ay olabilir.
[sayfa-akademik__ulusal-destek-programlari__1002-b-acil-destek-modulu] proje destek üst limiti (burs dahil) 100.000 TL’dir</t>
  </si>
  <si>
    <t>sayfa-akademik__ulusal-destek-programlari__1002-b-acil-destek-modulu</t>
  </si>
  <si>
    <t>6, 100.000</t>
  </si>
  <si>
    <t>1002</t>
  </si>
  <si>
    <t>q020</t>
  </si>
  <si>
    <t>1003 Öncelikli Alanlar Ar-Ge projeleri en fazla kaç ay sürebilir?</t>
  </si>
  <si>
    <t>1003 kapsamında desteklenecek projelerin süresi en fazla 36 aydır.</t>
  </si>
  <si>
    <t>[mevzuat-073] Bu destek programı kapsamında desteklenecek projelerin süresi en fazla 36 aydır.</t>
  </si>
  <si>
    <t>mevzuat-073</t>
  </si>
  <si>
    <t>36</t>
  </si>
  <si>
    <t>1003</t>
  </si>
  <si>
    <t>q021</t>
  </si>
  <si>
    <t>1004 Mükemmeliyet Merkezi programında faaliyetlerin hangi Teknoloji Hazırlık Seviyesinde olması bekleniyor?</t>
  </si>
  <si>
    <t>Araştırma programındaki Ar-Ge ve yenilik faaliyetlerinin THS 3-6 düzeyinde olması beklenir.</t>
  </si>
  <si>
    <t>[sayfa-akademik__ulusal-destek-programlari__1004-mukemmeliyet-merkezi-destek-programi] Teknoloji Hazırlık Seviyesi (THS) 3-6 düzeyinde olması beklenir</t>
  </si>
  <si>
    <t>sayfa-akademik__ulusal-destek-programlari__1004-mukemmeliyet-merkezi-destek-programi</t>
  </si>
  <si>
    <t>3-6</t>
  </si>
  <si>
    <t>1004</t>
  </si>
  <si>
    <t>q022</t>
  </si>
  <si>
    <t>1005 Ulusal Yeni Fikirler ve Ürünler programında bütçe üst limiti ne kadar?</t>
  </si>
  <si>
    <t>1 Şubat 2026 itibarıyla proje destek üst limiti (burs dahil, PTİ ve kurum hissesi hariç) 1.200.000 TL'dir.</t>
  </si>
  <si>
    <t>[sayfa-akademik__ulusal-destek-programlari__1005-ulusal-yeni-fikirler-ve-urunler-arastirma-destek-programi] proje destek üst limiti (burs dahil, proje teşvik ikramiyesi (PTİ)* ve kurum hissesi hariç) 1.200.000 TL’dir</t>
  </si>
  <si>
    <t>sayfa-akademik__ulusal-destek-programlari__1005-ulusal-yeni-fikirler-ve-urunler-arastirma-destek-programi</t>
  </si>
  <si>
    <t>1.200.000</t>
  </si>
  <si>
    <t>1005</t>
  </si>
  <si>
    <t>q023</t>
  </si>
  <si>
    <t>1007 programında fizibilite projesi nedir, süresi ne kadar olabilir?</t>
  </si>
  <si>
    <t>Diğer nitelikteki bir projenin yapılabilirliğine karar vermeye yönelik, süresi bir yılı geçmeyen, bütçesi çağrıda belirlenen ve ek süre/ek ödenek verilmeyen projedir.</t>
  </si>
  <si>
    <t>[sayfa-akademik__ulusal-destek-programlari__1007-kamu-kurumlari-arastirma-ve-gelistirme-projelerini-destekleme-programi] Fizibilite Projesi: Diğer 3 nitelikte olabilecek projenin yapılabilirliğine karar vermeye yönelik, süresi bir yılı geçmeyen</t>
  </si>
  <si>
    <t>sayfa-akademik__ulusal-destek-programlari__1007-kamu-kurumlari-arastirma-ve-gelistirme-projelerini-destekleme-programi</t>
  </si>
  <si>
    <t>bir</t>
  </si>
  <si>
    <t>1007</t>
  </si>
  <si>
    <t>q024</t>
  </si>
  <si>
    <t>3001 Başlangıç Ar-Ge projeleri en fazla kaç ay desteklenir?</t>
  </si>
  <si>
    <t>3001 kapsamında desteklenecek projelerin süresi en fazla 24 aydır.</t>
  </si>
  <si>
    <t>[mevzuat-085] Bu destek programı kapsamında desteklenecek projelerin süresi en fazla 24 aydır.</t>
  </si>
  <si>
    <t>mevzuat-085</t>
  </si>
  <si>
    <t>3001</t>
  </si>
  <si>
    <t>q025</t>
  </si>
  <si>
    <t>3501 Kariyer Geliştirme programına doktoramı bitirdikten kaç yıl sonrasına kadar başvurabilirim?</t>
  </si>
  <si>
    <t>Doktora veya eşdeğer derecenin alındığı tarihi izleyen 7 yıl içinde başvurulmalıdır (doğum izni gibi istisnalar ayrıca belirtilir).</t>
  </si>
  <si>
    <t>[sayfa-akademik__ulusal-destek-programlari__3501-kariyer-gelistirme-programi] Doktora veya eşdeğer derecenin alındığı tarihi izleyen 7 yıl içinde başvuruda bulunması</t>
  </si>
  <si>
    <t>sayfa-akademik__ulusal-destek-programlari__3501-kariyer-gelistirme-programi</t>
  </si>
  <si>
    <t>3501</t>
  </si>
  <si>
    <t>q026</t>
  </si>
  <si>
    <t>2211 Yurt İçi Doktora Burs Programında burs en fazla kaç ay ödenir?</t>
  </si>
  <si>
    <t>Yüksek lisans sonrası doktora için en çok 48 ay, bütünleşik doktora için 60 ay ödenir.</t>
  </si>
  <si>
    <t>[mevzuat-040] yüksek lisans sonrası doktora programı için en çok 48 ay, bütünleşik doktora programı için 60 aydır</t>
  </si>
  <si>
    <t>mevzuat-040</t>
  </si>
  <si>
    <t>48, 60</t>
  </si>
  <si>
    <t>2211</t>
  </si>
  <si>
    <t>q027</t>
  </si>
  <si>
    <t>2213 Yurt Dışı Lisansüstü Burs Programında yurt dışında toplam ne kadar süre burs alınabilir?</t>
  </si>
  <si>
    <t>Yurt dışında öğrenime başlama tarihinden itibaren toplamda 24 aya kadar burs ve destek ödenebilir; geriye dönük ödeme yapılmaz.</t>
  </si>
  <si>
    <t>[mevzuat-040] toplamda 24 aya kadar burs ve destek ödenebilir</t>
  </si>
  <si>
    <t>2213</t>
  </si>
  <si>
    <t>q028</t>
  </si>
  <si>
    <t>2224-A desteğinden aynı yıl içinde ikinci kez yararlanabilir miyim?</t>
  </si>
  <si>
    <t>Hayır; başvuru koşullarından biri 2224-A programından ilgili yıl içinde yararlanılmamış olmasıdır.</t>
  </si>
  <si>
    <t>[dosya-b82f05be2ea3] 2224-A programından ilgili yıl içinde yararlanılmamış olması</t>
  </si>
  <si>
    <t>dosya-b82f05be2ea3</t>
  </si>
  <si>
    <t>2224</t>
  </si>
  <si>
    <t>q029</t>
  </si>
  <si>
    <t>2224-A ile konferansa katıldıktan sonra izleme belgelerini ne kadar süre içinde sisteme yüklemem gerekiyor?</t>
  </si>
  <si>
    <t>Etkinliğin bitiş tarihinden ya da destek sonuç tarihinden sonraki otuz gün içinde BİDEB sistemine yüklenmelidir.</t>
  </si>
  <si>
    <t>[dosya-b82f05be2ea3] etkinliğin bitiş tarihinden ya da destek sonuç tarihinden sonraki otuz gün içinde</t>
  </si>
  <si>
    <t>otuz</t>
  </si>
  <si>
    <t>q031</t>
  </si>
  <si>
    <t>4007 kapsamında büyük ölçekli bilim festivali düzenlersek ne kadar destek alabiliriz?</t>
  </si>
  <si>
    <t>Bilim Festivalleri için destek üst limiti (PTİ hariç) 1.500.000 TL'dir (KDV dahil); bilim şenlikleri için 450.000 TL'dir.</t>
  </si>
  <si>
    <t>[dosya-4806f8f8bca1] Bilim Festivalleri (Büyük Ölçekli Bilim Şenlikleri) için 1.500.000 TL (KDV dâhil)’dir</t>
  </si>
  <si>
    <t>dosya-4806f8f8bca1</t>
  </si>
  <si>
    <t>1.500.000</t>
  </si>
  <si>
    <t>4007</t>
  </si>
  <si>
    <t>q032</t>
  </si>
  <si>
    <t>4006-A bilim fuarında 20 alt proje sergilenecekse okulumuza toplam ne kadar destek ödenir?</t>
  </si>
  <si>
    <t>Destek = hazırlık desteği 7.000 TL + alt proje başına 750 TL; 20 alt proje için toplam 22.000 TL (KDV dahil) ödenir.</t>
  </si>
  <si>
    <t>[dosya-0f15ecfa44a1] Bilim Fuarı Hazırlık Desteği (7.000 TL) + (Sergilenecek Alt Proje Sayısı x 750 TL)
[dosya-0f15ecfa44a1] 20 alt projesi kabul edilen bir proje yürütücüsüne toplam 22.000 TL (KDV dâhil) proje destek miktarı ödenir</t>
  </si>
  <si>
    <t>dosya-0f15ecfa44a1</t>
  </si>
  <si>
    <t>22.000</t>
  </si>
  <si>
    <t>4006</t>
  </si>
  <si>
    <t>q033</t>
  </si>
  <si>
    <t>4008 projesinde her bir etkinlik dönemi en az kaç gün olmalı?</t>
  </si>
  <si>
    <t>Her bir etkinlik dönemi en az 4 gün olacak şekilde planlanmalıdır.</t>
  </si>
  <si>
    <t>[dosya-fc6dead14833] Her bir etkinlik dönemi en az 4 gün olacak şekilde planlanmalıdır.</t>
  </si>
  <si>
    <t>dosya-fc6dead14833</t>
  </si>
  <si>
    <t>4008</t>
  </si>
  <si>
    <t>q035</t>
  </si>
  <si>
    <t>Kurum hissesinden bursiyer ödemesi veya PTİ ödemesi yapabilir miyiz?</t>
  </si>
  <si>
    <t>Hayır. Kurum hissesinden burs ve PTİ ödemesi yapılamaz.</t>
  </si>
  <si>
    <t>[mevzuat-048] Kurum hissesinden burs ve PTİ ödemesi yapılamaz.</t>
  </si>
  <si>
    <t>mevzuat-048</t>
  </si>
  <si>
    <t>q036</t>
  </si>
  <si>
    <t>TÜBİTAK başvurumun reddine itiraz etmek için kaç günüm var?</t>
  </si>
  <si>
    <t>İtiraz başvuru süresi, işlemin tebliğinden itibaren 15 gündür; son gün tatile denk gelirse izleyen ilk iş gününün bitimine kadar uzar. Başvuru TÜBİMER Online Sistemi'nden yapılır.</t>
  </si>
  <si>
    <t>[mevzuat-116] itiraza konu işlemin ilgiliye tebliğinden (yazılı veya elektronik olarak gerçekleştirilen bildirimden) itibaren 15 gündür</t>
  </si>
  <si>
    <t>mevzuat-116</t>
  </si>
  <si>
    <t>15</t>
  </si>
  <si>
    <t>q037</t>
  </si>
  <si>
    <t>ARDEB panel değerlendirmesinde bir panelde kaç panelist bulunur ve en fazla kaç öneri görüşülür?</t>
  </si>
  <si>
    <t>Her panel en çok on proje önerisini değerlendirmek üzere en az beş, en çok dokuz panelistten oluşturulur.</t>
  </si>
  <si>
    <t>[mevzuat-044] Her panel, en çok on proje önerisinin bilimsel değerlendirmesini yapmak üzere, en az beş en çok dokuz panelistten oluşturulur.</t>
  </si>
  <si>
    <t>mevzuat-044</t>
  </si>
  <si>
    <t>beş, dokuz, on</t>
  </si>
  <si>
    <t>q038</t>
  </si>
  <si>
    <t>Teknoparkta yönetici şirketin kurucuları arasında kimlerin bulunması zorunludur?</t>
  </si>
  <si>
    <t>Yönetici şirketin kurucuları arasında Bölgenin içinde veya bulunduğu ilde yer alan en az bir üniversite veya yüksek teknoloji enstitüsü ya da kamu AR-GE merkez veya enstitüsü bulunur.</t>
  </si>
  <si>
    <t>[kanun-4691] yönetici şirketin kurucuları arasında, Bölgenin içinde veya bulunduğu ilde yer alan en az bir üniversite veya yüksek teknoloji enstitüsü ya da kamu AR-GE merkez veya enstitüsü bulunur</t>
  </si>
  <si>
    <t>kanun-4691</t>
  </si>
  <si>
    <t>q039</t>
  </si>
  <si>
    <t>5746 sayılı Kanuna göre doktoralı Ar-Ge personelinin gelir vergisi stopajının yüzde kaçı terkin edilir?</t>
  </si>
  <si>
    <t>Doktoralılar (ve desteklenecek alanlarda en az yüksek lisanslılar) için %95; yüksek lisanslılar için %90; diğerleri için %80 terkin edilir.</t>
  </si>
  <si>
    <t>[kanun-5746] doktoralı olanlar ile desteklenecek program alanlarından birinde en az yüksek lisans derecesine sahip olanlar için yüzde doksan beşi</t>
  </si>
  <si>
    <t>kanun-5746</t>
  </si>
  <si>
    <t>95, 90, 80</t>
  </si>
  <si>
    <t>q040</t>
  </si>
  <si>
    <t>Şahıs şirketim var; 1505 projesinde müşteri kuruluş olabilir miyim?</t>
  </si>
  <si>
    <t>Hayır. 1505'te müşteri kuruluşun sermaye şirketi olması gerekir; şahıs işletmeleri müşteri kuruluş olamaz.</t>
  </si>
  <si>
    <t>[dosya-358f2addd2d5] Şahıs işletmeleri müşteri kuruluş olabilir mi? Hayır. Müşteri kuruluş sermaye şirketi olmalıdır.</t>
  </si>
  <si>
    <t>dosya-358f2addd2d5</t>
  </si>
  <si>
    <t>1505</t>
  </si>
  <si>
    <t>q042</t>
  </si>
  <si>
    <t>TEYDEB destek limitleri tablosuna göre 1515 Öncül Ar-Ge Laboratuvarları programında proje bütçesi üst limiti nedir?</t>
  </si>
  <si>
    <t>Üst limit tablosunda 1515 için proje bütçesi üst limiti yıllık 25.000.000 TL'dir.</t>
  </si>
  <si>
    <t>[dosya-6a5eda267423] 1515: 25.000.000 TL (Yıllık)</t>
  </si>
  <si>
    <t>dosya-6a5eda267423</t>
  </si>
  <si>
    <t>25.000.000</t>
  </si>
  <si>
    <t>1515</t>
  </si>
  <si>
    <t>Kaynak 2024-03 tarihli üst limit tablosu (XLSX); daha güncel bir değer yayımlanmış olabilir.</t>
  </si>
  <si>
    <t>q043</t>
  </si>
  <si>
    <t>1513 Teknoloji Transfer Ofisleri programında Kapasite Geliştirme Aşamasında destek oranı yüzde kaç?</t>
  </si>
  <si>
    <t>Kapasite Geliştirme Aşamasında destek oranı %80'dir; Hedef Odaklı Gelişim Aşamasında oran %40+%[(performans puanı-1)x10] formülüyle hesaplanır.</t>
  </si>
  <si>
    <t>[dosya-6a5eda267423] Program kapsamında desteklenen projelerin Kapasite Geliştirme Aşaması’nda destek oranı %80’dir.</t>
  </si>
  <si>
    <t>80</t>
  </si>
  <si>
    <t>1513</t>
  </si>
  <si>
    <t>Kaynak 2024-03 tarihli üst limit tablosu; 1513 uygulama esaslarıyla (mevzuat-103) çapraz kontrol edilebilir.</t>
  </si>
  <si>
    <t>q044</t>
  </si>
  <si>
    <t>1501 Uygulama Esaslarında proje süresi üst sınırı nedir ve 2026 yılı 2. çağrısına kaç aylık proje ile başvurulabilir?</t>
  </si>
  <si>
    <t>Esaslara göre destek süresi en fazla 36 aydır; 2026-2 çağrısına ise en fazla 24 ay süreli proje ile başvurulabilir (gerekirse izleme sırasında 36 ayı geçmemek üzere en fazla %50 uzatılabilir).</t>
  </si>
  <si>
    <t>[mevzuat-030] Destek süresi proje bazında en fazla otuz altı aydır.
[dosya-10f733d7f6a2] Çağrıya en fazla 24 ay süreli proje başvurusu yapılabilir.</t>
  </si>
  <si>
    <t>36, 24</t>
  </si>
  <si>
    <t>q045</t>
  </si>
  <si>
    <t>1501 ve 1507 programları arasında azami proje süresi açısından fark nedir?</t>
  </si>
  <si>
    <t>1501'de destek süresi en fazla 36 ay, 1507'de en fazla 18 aydır; yani 1501 projeleri 18 ay daha uzun olabilir.</t>
  </si>
  <si>
    <t>[mevzuat-030] Destek süresi proje bazında en fazla otuz altı aydır.
[mevzuat-031] Destek süresi proje bazında en fazla on sekiz (18) aydır.</t>
  </si>
  <si>
    <t>mevzuat-030
mevzuat-031</t>
  </si>
  <si>
    <t>36, 18</t>
  </si>
  <si>
    <t>1501, 1507</t>
  </si>
  <si>
    <t>q046</t>
  </si>
  <si>
    <t>1501 projesinde çalışan Ar-Ge personelim 5746 sayılı Kanundaki gelir vergisi stopajı teşvikinden yararlanıyor. Bu teşvik tutarını TÜBİTAK'a personel maliyeti olarak beyan edebilir miyim?</t>
  </si>
  <si>
    <t>Hayır. 5746 kapsamında TÜBİTAK tarafından yürütülen projelerde çalışan Ar-Ge personeli stopaj teşvikinden yararlanabilir; ancak 1501 Esaslarına göre bu teşvik, istisna ve destekler proje personel maliyetine dahil edilmez, TÜBİTAK'a beyan edilmez ve desteklenmez.</t>
  </si>
  <si>
    <t>[kanun-5746] ya da TÜBİTAK tarafından yürütülen Ar-Ge ve yenilik projelerinde
[mevzuat-030] proje personel maliyetine dahil edilmez, TÜBİTAK’a beyan edilmez ve desteklenmez</t>
  </si>
  <si>
    <t>kanun-5746
mevzuat-030</t>
  </si>
  <si>
    <t>q047</t>
  </si>
  <si>
    <t>Teknoparktaki yazılım kazançlarına tanınan vergi istisnası ile 5746 sayılı Kanun kapsamındaki destekler hangi tarihe kadar geçerli?</t>
  </si>
  <si>
    <t>Her ikisi de 31/12/2028'e kadar geçerlidir: 4691 sayılı Kanun'daki kazanç istisnası 31/12/2028'e kadar, 5746 sayılı Kanun da 31/12/2028'e kadar uygulanır.</t>
  </si>
  <si>
    <t>[kanun-4691] elde ettikleri kazançları 31/12/2028 tarihine kadar gelir ve kurumlar vergisinden müstesnadır
[kanun-5746] Bu Kanun 31/12/2028 tarihine kadar uygulanmak üzere</t>
  </si>
  <si>
    <t>kanun-4691
kanun-5746</t>
  </si>
  <si>
    <t>31/12/2028</t>
  </si>
  <si>
    <t>q048</t>
  </si>
  <si>
    <t>1501 projemizde destek kapsamına itiraz etmek istiyoruz; ayrıca başka bir başvurumuz reddedildi. Bu iki itiraz için süreler nedir?</t>
  </si>
  <si>
    <t>1501 Esaslarına göre destek kapsamına itiraz, destek karar yazısı tarihinden itibaren en fazla 2 ay içinde yapılır. Başvuru değerlendirme sonucuna (ret) itiraz ise İtiraz Yönetmeliğine göre tebliğden itibaren 15 gün içinde TÜBİMER'den yapılır.</t>
  </si>
  <si>
    <t>[mevzuat-030] Destek kapsamına itirazlar, proje destek karar yazısı tarihinden itibaren en fazla iki (2) ay içinde yapılabilir.
[mevzuat-116] itiraza konu işlemin ilgiliye tebliğinden (yazılı veya elektronik olarak gerçekleştirilen bildirimden) itibaren 15 gündür</t>
  </si>
  <si>
    <t>mevzuat-030
mevzuat-116</t>
  </si>
  <si>
    <t>2, 15</t>
  </si>
  <si>
    <t>q049</t>
  </si>
  <si>
    <t>1507 Uygulama Esaslarında azami proje bütçesi rakam olarak yazıyor mu? Güncel bütçe sınırı nedir?</t>
  </si>
  <si>
    <t>Esaslar azami bütçeyi rakam vermeden Yönetim Kurulunun belirleyeceğini söyler; program sayfasına göre proje bütçesi en fazla 3.500.000 TL'dir.</t>
  </si>
  <si>
    <t>[mevzuat-031] Bu programa başvuran projelerin azami bütçesi Yönetim Kurulu tarafından belirlenir.
[sayfa-sanayi__ulusal-destek-programlari__1507-tubitak-kobi-ar-ge-baslangic-destek-programi] Proje bütçesi en fazla 3.500.000 TL’dir.</t>
  </si>
  <si>
    <t>mevzuat-031
sayfa-sanayi__ulusal-destek-programlari__1507-tubitak-kobi-ar-ge-baslangic-destek-programi</t>
  </si>
  <si>
    <t>3.500.000</t>
  </si>
  <si>
    <t>q050</t>
  </si>
  <si>
    <t>Büyük ölçekli bir şirket 1505 projesinde müşteri kuruluş olabilir mi; olursa bütçenin ne kadarını TÜBİTAK karşılar?</t>
  </si>
  <si>
    <t>Evet, şirket ölçeğine kısıtlama yoktur (SSS). Müşteri büyük ölçekli ise bütçenin %60'ını TÜBİTAK, %40'ını müşteri kuruluş karşılar (Uygulama Esasları).</t>
  </si>
  <si>
    <t>[dosya-358f2addd2d5] Büyük ölçekli şirketler müşteri kuruluş olabilir mi? Evet.
[mevzuat-070] destek kapsamına alınan proje bütçesinin %60'ı TÜBİTAK, kalan %40'ı müşteri kuruluş tarafından karşılanır</t>
  </si>
  <si>
    <t>dosya-358f2addd2d5
mevzuat-070</t>
  </si>
  <si>
    <t>60, 40</t>
  </si>
  <si>
    <t>q051</t>
  </si>
  <si>
    <t>1001 projesinde bütçe üst limiti nedir ve buna ek olarak kurum hissesi ne kadar verilir?</t>
  </si>
  <si>
    <t>1001'de 2026 1. dönem itibarıyla destek üst limiti (burs dahil, PTİ ve kurum hissesi hariç) 3.000.000 TL'dir; kurum hissesi ayrıca proje bütçesinin %10'una kadar hesaplanarak eklenir.</t>
  </si>
  <si>
    <t>[sayfa-akademik__ulusal-destek-programlari__1001-bilimsel-ve-teknolojik-arastirma-projelerini-destekleme-programi] yıllık bütçe sınırlaması olmaksızın 3.000.000 TL’dir
[mevzuat-048] Kurum hissesi ödeneği, proje bütçesinin %10’una kadar hesaplanır.</t>
  </si>
  <si>
    <t>sayfa-akademik__ulusal-destek-programlari__1001-bilimsel-ve-teknolojik-arastirma-projelerini-destekleme-programi
mevzuat-048</t>
  </si>
  <si>
    <t>3.000.000, 10</t>
  </si>
  <si>
    <t>q052</t>
  </si>
  <si>
    <t>Patent desteği için bireysel olarak yılda kaç başvuruda destek alabilirim ve ulusal patent başvuruları hâlâ destekleniyor mu?</t>
  </si>
  <si>
    <t>Gerçek kişiler yılda en fazla 5 patent başvurusu için destek alabilir (Uygulama Esasları). Ancak program sayfasına göre 03.01.2019 tarihli YK kararıyla ulusal patent başvurularına verilen destek ve ödüller başvuruya kapalıdır; PCT kapsamındaki uluslararası başvurular desteklenir.</t>
  </si>
  <si>
    <t>[mevzuat-068] Gerçek kişiler bir takvim yılı içerisinde en fazla 5 (beş) patent başvurusu için
[sayfa-sanayi__ulusal-destek-programlari__1602-tubitak-patent-destek-programi] ulusal patent başvurularına verilen destek ve ödüller başvuruya kapalıdır</t>
  </si>
  <si>
    <t>mevzuat-068
sayfa-sanayi__ulusal-destek-programlari__1602-tubitak-patent-destek-programi</t>
  </si>
  <si>
    <t>5</t>
  </si>
  <si>
    <t>1602</t>
  </si>
  <si>
    <t>q053</t>
  </si>
  <si>
    <t>1004 Mükemmeliyet Merkezi programında KOBİ ortağa uygulanacak destek oranı ve araştırma programının azami süresi nedir?</t>
  </si>
  <si>
    <t>KOBİ'lerin bütçesinin %75'ine kadar destek verilir (büyük ölçekli %60, üniversite/kamu %100); süre en fazla 48 aydır.</t>
  </si>
  <si>
    <t>[mevzuat-100] KOBİ'lerin bütçesinin %75'ine kadar
[sayfa-akademik__ulusal-destek-programlari__1004-mukemmeliyet-merkezi-destek-programi] Süre en fazla 48 ay olabilir.</t>
  </si>
  <si>
    <t>mevzuat-100
sayfa-akademik__ulusal-destek-programlari__1004-mukemmeliyet-merkezi-destek-programi</t>
  </si>
  <si>
    <t>75, 48</t>
  </si>
  <si>
    <t>q054</t>
  </si>
  <si>
    <t>1501 ve 1507 2026-2 çağrılarına aynı anda başvurmak istiyoruz. Toplam kaç proje önerisi verebiliriz ve 1507'de destek oranı ne olur?</t>
  </si>
  <si>
    <t>İki çağrı için kuruluş başına toplam en fazla 2 proje önerisi verilebilir (ör. 1+1 ya da 2+0). 1507'de destek oranı her dönem için en fazla %75'tir.</t>
  </si>
  <si>
    <t>[dosya-3c4c2d391f25] Bu çağrı ile eş zamanlı olarak açılmış olan 1501-Sanayi Ar-Ge Destek Programı 2026 yılı 2. Çağrısına yapılan başvurular da bu limitin uygulanacağı başvuru sayısına dâhildir.
[mevzuat-031] Bu programda uygulanacak destek oranı her dönem için en fazla %75 olarak belirlenmiştir.</t>
  </si>
  <si>
    <t>dosya-3c4c2d391f25
mevzuat-031</t>
  </si>
  <si>
    <t>2, 75</t>
  </si>
  <si>
    <t>q055</t>
  </si>
  <si>
    <t>ARDEB projesinde süre uzatımı ne kadar yapılabilir, 1501 projesinde durum farklı mı?</t>
  </si>
  <si>
    <t>ARDEB İdari ve Mali Esaslarına göre proje süresi toplam sürenin en fazla %50'sine kadar uzatılabilir. 1501'de de destek süresi en fazla %50 oranında ve bir defaya mahsus artırılabilir, ancak toplam süre 36 ayı geçemez.</t>
  </si>
  <si>
    <t>[mevzuat-048] Proje süresi, toplam sürenin en fazla yüzde ellisine kadar uzatılabilir.
[mevzuat-030] proje destek süresi otuzaltı ayı geçmemek üzere ve proje destek süresinin en fazla yüzde ellisi (%50) oranında bir defaya mahsus olmak üzere</t>
  </si>
  <si>
    <t>mevzuat-048
mevzuat-030</t>
  </si>
  <si>
    <t>50, 36</t>
  </si>
  <si>
    <t>q056</t>
  </si>
  <si>
    <t>1002-A Hızlı Destek ile 1001 arasında proje süresi ve bütçe bakımından fark nedir?</t>
  </si>
  <si>
    <t>1002-A'da proje süresi en fazla 12 ay ve destek üst limiti yıllık 150.000 TL'dir; 1001'de süre en fazla 36 ay, üst limit 3.000.000 TL'dir.</t>
  </si>
  <si>
    <t>[sayfa-akademik__ulusal-destek-programlari__1002-hizli-destek-modulu] Proje süresi en fazla 12 ay olabilir.
[sayfa-akademik__ulusal-destek-programlari__1001-bilimsel-ve-teknolojik-arastirma-projelerini-destekleme-programi] Proje süresi en fazla 36 aydır.
[sayfa-akademik__ulusal-destek-programlari__1001-bilimsel-ve-teknolojik-arastirma-projelerini-destekleme-programi] yıllık bütçe sınırlaması olmaksızın 3.000.000 TL’dir</t>
  </si>
  <si>
    <t>sayfa-akademik__ulusal-destek-programlari__1002-hizli-destek-modulu
sayfa-akademik__ulusal-destek-programlari__1001-bilimsel-ve-teknolojik-arastirma-projelerini-destekleme-programi</t>
  </si>
  <si>
    <t>12, 36, 150.000, 3.000.000</t>
  </si>
  <si>
    <t>1001, 1002</t>
  </si>
  <si>
    <t>q057</t>
  </si>
  <si>
    <t>4004 projesinde yer alan bir öğrenci aynı çağrı döneminde 4005 projesine de katılımcı olabilir mi? 4005'te destek üst limiti nedir?</t>
  </si>
  <si>
    <t>Hayır; katılımcılar aynı çağrı döneminde herhangi bir 4004, 4005 veya 4008 projesinde katılımcı olarak yer almamış kişilerden oluşturulur. 4005'te destek üst limiti PTİ hariç 425.000 TL'dir.</t>
  </si>
  <si>
    <t>[dosya-6e23ae041c05] Projenin katılımcıları aynı çağrı döneminde herhangi bir 4004, 4005 veya 4008 projesinde katılımcı olarak yer almamış kişilerden oluşturulur.
[dosya-3b4579909814] Destek üst limiti, PTİ hariç 425.000 TL (KDV dâhil)’dir.</t>
  </si>
  <si>
    <t>dosya-6e23ae041c05
dosya-3b4579909814</t>
  </si>
  <si>
    <t>425.000</t>
  </si>
  <si>
    <t>4004, 4005</t>
  </si>
  <si>
    <t>q058</t>
  </si>
  <si>
    <t>2211 doktora bursiyeriyim; 1001 projesinde doktora bursiyeri olursam aylık burs ne kadar olur ve 2211 bursum en fazla kaç ay sürer?</t>
  </si>
  <si>
    <t>1001 sayfasına göre ücret karşılığı çalışmayan doktora öğrencisi bursiyere aylık 32.500 TL ödenir (1 Ocak 2026 itibarıyla). 2211 bursu yüksek lisans sonrası doktora için en çok 48 ay, bütünleşik doktora için 60 aydır.</t>
  </si>
  <si>
    <t>[sayfa-akademik__ulusal-destek-programlari__1001-bilimsel-ve-teknolojik-arastirma-projelerini-destekleme-programi] Doktora Öğrencisi | 32.500.-TL/ay | 8.500.-TL/ay
[mevzuat-040] yüksek lisans sonrası doktora programı için en çok 48 ay, bütünleşik doktora programı için 60 aydır</t>
  </si>
  <si>
    <t>sayfa-akademik__ulusal-destek-programlari__1001-bilimsel-ve-teknolojik-arastirma-projelerini-destekleme-programi
mevzuat-040</t>
  </si>
  <si>
    <t>32.500, 48, 60</t>
  </si>
  <si>
    <t>1001, 2211</t>
  </si>
  <si>
    <t>Aynı anda iki burstan yararlanma kuralları corpus'ta açık değil; beklenen cevap yalnız iki olguyu birleştirir.</t>
  </si>
  <si>
    <t>q059</t>
  </si>
  <si>
    <t>1707 Sipariş Ar-Ge çağrısında proje bütçesi üst sınırı ne kadar?</t>
  </si>
  <si>
    <t>En güncel 2026-3 çağrı dokümanına göre bütçe en fazla 10.000.000 TL'dir. (2024 tarihli üst limit tablosu 2022 çağrıları için 5.000.000 TL yazıyordu; güncel çağrı esas alınmalıdır.)</t>
  </si>
  <si>
    <t>[dosya-b5665606654f] Başvurulan projelerin bütçesi en fazla 10.000.000 TL (on milyon Türk Lirası) olacaktır.</t>
  </si>
  <si>
    <t>10.000.000</t>
  </si>
  <si>
    <t>Eski değer: dosya-6a5eda267423 (2024-03 üst limit tablosu, 2022 çağrıları: 5.000.000).</t>
  </si>
  <si>
    <t>q060</t>
  </si>
  <si>
    <t>1711 Yapay Zekâ Ekosistem çağrısında proje bütçesi en fazla ne kadar olabilir?</t>
  </si>
  <si>
    <t>2026 çağrı metnine göre genel gider, PTİ ve kurum hissesi hariç en fazla 10.000.000 TL'dir. (2024 tarihli üst limit tablosunda 5.000.000 TL yazıyordu.)</t>
  </si>
  <si>
    <t>[dosya-60d1d7043d13] Genel Gider, Proje Teşvik İkramiyesi ve Kurum Hissesi hariç en fazla 10.000.000 TL (on milyon Türk Lirası) olacaktır</t>
  </si>
  <si>
    <t>dosya-60d1d7043d13</t>
  </si>
  <si>
    <t>1711</t>
  </si>
  <si>
    <t>Eski değer: dosya-6a5eda267423 (5.000.000 TL).</t>
  </si>
  <si>
    <t>q061</t>
  </si>
  <si>
    <t>5746 sayılı Ar-Ge Kanunu ne zamana kadar yürürlükte kalacak? Daha önce 2023'te bitmiyor muydu?</t>
  </si>
  <si>
    <t>Güncel metne göre Kanun 31/12/2028 tarihine kadar uygulanır (2021 değişikliğinden önce 31/12/2023 idi).</t>
  </si>
  <si>
    <t>[kanun-5746] Bu Kanun 31/12/2028 tarihine kadar uygulanmak üzere</t>
  </si>
  <si>
    <t>Önceki tarih (31/12/2023) değişiklik notunda; ayrıştırıcı düzeltmesinden sonra notun metinden çıkması beklenir.</t>
  </si>
  <si>
    <t>q062</t>
  </si>
  <si>
    <t>ARDEB İdari ve Mali Esaslarında kurum hissesine ilişkin son değişiklikler hangi projelerden itibaren uygulanıyor?</t>
  </si>
  <si>
    <t>Esasların 10. maddesine göre kurum hissesinin belirlenmesi ve harcanmasına ilişkin değişiklikler 01/01/2026 tarihinden itibaren desteklenmesine karar verilen projelerde uygulanır.</t>
  </si>
  <si>
    <t>[mevzuat-048] 01/01/2026 tarihinden itibaren desteklenmesine karar verilen projelerde uygulanır</t>
  </si>
  <si>
    <t>01/01/2026</t>
  </si>
  <si>
    <t>q063</t>
  </si>
  <si>
    <t>1001 programında güncel proje bütçe üst limiti ne kadar?</t>
  </si>
  <si>
    <t>2026 yılı 1. dönemi itibarıyla destek üst limiti (burs dahil, PTİ ve kurum hissesi hariç) yıllık bütçe sınırlaması olmaksızın 3.000.000 TL'dir (özel çağrılarda çağrı metnindeki daha düşük limitler geçerlidir).</t>
  </si>
  <si>
    <t>[sayfa-akademik__ulusal-destek-programlari__1001-bilimsel-ve-teknolojik-arastirma-projelerini-destekleme-programi] 2026 yılı 1. dönemi itibariyle proje destek üst limiti (burs dahil, proje teşvik ikramiyesi (PTİ) ve kurum hissesi hariç) yıllık bütçe sınırlaması olmaksızın 3.000.000 TL’dir</t>
  </si>
  <si>
    <t>3.000.000</t>
  </si>
  <si>
    <t>Başvuru kılavuzu (2024-04, dosya-88eb01895fb2) yalnız 'programın destek üst limiti' der; güncel rakam program sayfasındadır.</t>
  </si>
  <si>
    <t>q064</t>
  </si>
  <si>
    <t>ARDEB projelerinde doktora öğrencisi bursiyere güncel olarak ayda ne kadar burs ödeniyor?</t>
  </si>
  <si>
    <t>1 Ocak 2026'dan itibaren geçerli üst sınırlara göre ücret karşılığı çalışmayan doktora öğrencisine 32.500 TL/ay, ücretli çalışan doktora öğrencisine 8.500 TL/ay ödenir.</t>
  </si>
  <si>
    <t>[sayfa-akademik__ulusal-destek-programlari__1001-bilimsel-ve-teknolojik-arastirma-projelerini-destekleme-programi] Burslar ile ilgili üst sınırlar, 1 Ocak 2026 tarihinden itibaren geçerli
[sayfa-akademik__ulusal-destek-programlari__1001-bilimsel-ve-teknolojik-arastirma-projelerini-destekleme-programi] Doktora Öğrencisi | 32.500.-TL/ay | 8.500.-TL/ay</t>
  </si>
  <si>
    <t>32.500, 8.500</t>
  </si>
  <si>
    <t>q065</t>
  </si>
  <si>
    <t>4006 bilim fuarı destek tutarları sabit mi, güncellenecek mi?</t>
  </si>
  <si>
    <t>13. dönem çağrısındaki tutar hazırlık desteği 7.000 TL + alt proje başına 750 TL'dir; bu tutar enflasyon verileri dikkate alınarak güncellenecek ve Ekim ayında yeniden duyurulacaktır.</t>
  </si>
  <si>
    <t>[dosya-0f15ecfa44a1] Belirtilen destek miktarı, enflasyon verileri dikkate alınarak güncellenecek ve Ekim ayı içinde tekrar duyurulacaktır.</t>
  </si>
  <si>
    <t>7.000, 750</t>
  </si>
  <si>
    <t>Güncellenmiş tutar corpus'ta yok; sistem mevcut tutarı verip güncelleneceğini belirtmeli.</t>
  </si>
  <si>
    <t>q066</t>
  </si>
  <si>
    <t>BiGG kapsamında girişim şirketine sağlanan destek miktarı ne kadar? Eski tabloda 900 bin TL görmüştüm.</t>
  </si>
  <si>
    <t>En güncel 1812 BiGG Yatırım 2026-2 çağrısına göre TÜBİTAK BİGG Fonu kuruluşun %3 payı karşılığında 1.350.000 TL yatırım yapar. 900.000 TL, önceki çağrı dönemlerinde (2025 SSS, 2026-1 dönemi) aynı %3 pay için uygulanan eski tutardır.</t>
  </si>
  <si>
    <t>1.350.000</t>
  </si>
  <si>
    <t>Eski değer (900.000 TL, %3 pay): dosya-896a91e64c3b (BiGG Yatırım SSS, 2025-08) ve dosya-5421b87f8f3c (1601 2025-1 çağrısı). Review 1'de düzeltildi (önce yanlışlıkla 1512 tablo değeri sanılmıştı).</t>
  </si>
  <si>
    <t>q067</t>
  </si>
  <si>
    <t>2224-A çağrı duyurusunun son halinde neler güncellendi?</t>
  </si>
  <si>
    <t>Güncel duyuruda başvuru koşulları (4.1.6 ve 4.1.10.4) ve yükümlülükler (8.2) güncellenmiştir.</t>
  </si>
  <si>
    <t>[dosya-b82f05be2ea3] Başvuru koşulları güncellenmiştir. (Lütfen bakınız 4.1.6. )
[dosya-b82f05be2ea3] Yükümlülükler güncellenmiştir. (Lütfen bakınız 8.2.)</t>
  </si>
  <si>
    <t>4.1.6, 8.2</t>
  </si>
  <si>
    <t>q068</t>
  </si>
  <si>
    <t>1501 2026 yılı 2. çağrısının son başvuru tarihi ne?</t>
  </si>
  <si>
    <t>2026-2 çağrısında kuruluş bazlı ön kayıt son tarihi 22.10.2026, çağrı kapanış tarihi 26.10.2026 (saat 23:59)'dur.</t>
  </si>
  <si>
    <t>[dosya-10f733d7f6a2] Çağrı Kapanış Tarihi3 26.10.2026 (Saat 23:59)</t>
  </si>
  <si>
    <t>dosya-10f733d7f6a2</t>
  </si>
  <si>
    <t>26.10.2026</t>
  </si>
  <si>
    <t>Çağrı tarihleri her dönem değişir; en güncel çağrı dokümanı esas alınır.</t>
  </si>
  <si>
    <t>q069</t>
  </si>
  <si>
    <t>TÜBİTAK projelerinde proje süresi en fazla kaç ay olabilir?</t>
  </si>
  <si>
    <t>Programa göre değişir: örneğin 1001'de en fazla 36 ay, 1005'te 18 ay, 1002-A Hızlı Destek'te 12 ay. Hangi programı kastettiğinizi belirtirseniz kesin süre verilebilir.</t>
  </si>
  <si>
    <t>[sayfa-akademik__ulusal-destek-programlari__1001-bilimsel-ve-teknolojik-arastirma-projelerini-destekleme-programi] Proje süresi en fazla 36 aydır.
[mevzuat-086] projelerin süresi en fazla 18 aydır
[sayfa-akademik__ulusal-destek-programlari__1002-hizli-destek-modulu] Proje süresi en fazla 12 ay olabilir.</t>
  </si>
  <si>
    <t>sayfa-akademik__ulusal-destek-programlari__1001-bilimsel-ve-teknolojik-arastirma-projelerini-destekleme-programi
mevzuat-086
sayfa-akademik__ulusal-destek-programlari__1002-hizli-destek-modulu</t>
  </si>
  <si>
    <t>36, 18, 12</t>
  </si>
  <si>
    <t>1001, 1005, 1002</t>
  </si>
  <si>
    <t>q070</t>
  </si>
  <si>
    <t>Destek oranı yüzde kaç?</t>
  </si>
  <si>
    <t>Programa göre değişir. 1501 Esaslarına göre büyük kuruluş %60 / KOBİ %75; güncel 1501 çağrısında yalnız KOBİ'ler başvurabilir ve oran ilk 5 projede %75, sonraki projelerde %60'tır. 1507'de destek oranı her dönem için en fazla %75'tir.</t>
  </si>
  <si>
    <t>[mevzuat-030] Destek oranı büyük kuruluşlar için en fazla % 60 ve KOBİ ölçeğindeki kuruluşlar içinse en fazla %75 olarak uygulanır.
[dosya-10f733d7f6a2] Destek oranı %60 ve hibe destek tutarı en fazla 20 Milyon TL
[mevzuat-031] Bu programda uygulanacak destek oranı her dönem için en fazla %75 olarak belirlenmiştir.</t>
  </si>
  <si>
    <t>mevzuat-030
dosya-10f733d7f6a2
mevzuat-031</t>
  </si>
  <si>
    <t>q071</t>
  </si>
  <si>
    <t>Proje bütçesinin üst limiti ne kadar?</t>
  </si>
  <si>
    <t>Programa göre değişir: 1001'de 3.000.000 TL, 1005'te 1.200.000 TL, 1507'de 3.500.000 TL.</t>
  </si>
  <si>
    <t>[sayfa-akademik__ulusal-destek-programlari__1001-bilimsel-ve-teknolojik-arastirma-projelerini-destekleme-programi] yıllık bütçe sınırlaması olmaksızın 3.000.000 TL’dir
[sayfa-akademik__ulusal-destek-programlari__1005-ulusal-yeni-fikirler-ve-urunler-arastirma-destek-programi] kurum hissesi hariç) 1.200.000 TL’dir
[sayfa-sanayi__ulusal-destek-programlari__1507-tubitak-kobi-ar-ge-baslangic-destek-programi] Proje bütçesi en fazla 3.500.000 TL’dir.</t>
  </si>
  <si>
    <t>sayfa-akademik__ulusal-destek-programlari__1001-bilimsel-ve-teknolojik-arastirma-projelerini-destekleme-programi
sayfa-akademik__ulusal-destek-programlari__1005-ulusal-yeni-fikirler-ve-urunler-arastirma-destek-programi
sayfa-sanayi__ulusal-destek-programlari__1507-tubitak-kobi-ar-ge-baslangic-destek-programi</t>
  </si>
  <si>
    <t>3.000.000, 1.200.000, 3.500.000</t>
  </si>
  <si>
    <t>1001, 1005, 1507</t>
  </si>
  <si>
    <t>q072</t>
  </si>
  <si>
    <t>Bilim ve toplum projelerinde destek üst limiti ne kadar?</t>
  </si>
  <si>
    <t>Programa göre değişir: 4004 (ve 4005, 4008) için PTİ hariç 425.000 TL; 4007'de bilim şenlikleri için 450.000 TL, bilim festivalleri için 1.500.000 TL.</t>
  </si>
  <si>
    <t>[dosya-6e23ae041c05] Destek üst limiti, Proje Teşvik İkramiyesi hariç 425.000 TL (KDV dâhil)’dir
[dosya-4806f8f8bca1] Bilim Şenlikleri için 450.000 TL (KDV dâhil)</t>
  </si>
  <si>
    <t>dosya-6e23ae041c05
dosya-4806f8f8bca1</t>
  </si>
  <si>
    <t>425.000, 450.000, 1.500.000</t>
  </si>
  <si>
    <t>4004, 4007</t>
  </si>
  <si>
    <t>q073</t>
  </si>
  <si>
    <t>Başvurular ne zaman kapanıyor?</t>
  </si>
  <si>
    <t>Çağrıya göre değişir: 1501 2026-2 çağrısı 26.10.2026'da, 1507 2026-2 çağrısı 11.11.2026'da, 4006-A 13. dönem başvuruları 13 Kasım 2026'da kapanır.</t>
  </si>
  <si>
    <t>[dosya-10f733d7f6a2] Çağrı Kapanış Tarihi3 26.10.2026 (Saat 23:59)
[dosya-3c4c2d391f25] Çağrı Kapanış Tarihi3 11.11.2026 (Saat 23:59)
[dosya-0f15ecfa44a1] Başvuru Dönemi 21 Eylül - 13 Kasım 2026 (saat 17:30)</t>
  </si>
  <si>
    <t>dosya-10f733d7f6a2
dosya-3c4c2d391f25
dosya-0f15ecfa44a1</t>
  </si>
  <si>
    <t>26.10.2026, 11.11.2026</t>
  </si>
  <si>
    <t>1501, 1507, 4006</t>
  </si>
  <si>
    <t>q074</t>
  </si>
  <si>
    <t>Destek süresi uzatılabiliyor mu?</t>
  </si>
  <si>
    <t>Programa göre değişir: 1501'de 36 ayı geçmemek ve en fazla %50 oranında bir defaya mahsus uzatılabilir; 1707 Sipariş Ar-Ge çağrısında uzatılsa dahi 24 ay aşılamaz; ARDEB projelerinde süre toplam sürenin en fazla %50'si kadar uzatılabilir.</t>
  </si>
  <si>
    <t>[mevzuat-030] proje destek süresi otuzaltı ayı geçmemek üzere ve proje destek süresinin en fazla yüzde ellisi (%50) oranında bir defaya mahsus olmak üzere
[dosya-b5665606654f] Destek süresi uzatılsa dahi yirmi dört ay aşılmaz.
[mevzuat-048] Proje süresi, toplam sürenin en fazla yüzde ellisine kadar uzatılabilir.</t>
  </si>
  <si>
    <t>mevzuat-030
dosya-b5665606654f
mevzuat-048</t>
  </si>
  <si>
    <t>50, 24</t>
  </si>
  <si>
    <t>1501, 1707</t>
  </si>
  <si>
    <t>q075</t>
  </si>
  <si>
    <t>Proje yürütücüsüne PTİ (proje teşvik ikramiyesi) ödeniyor mu?</t>
  </si>
  <si>
    <t>Programa göre değişir: 1002-A Hızlı Destek Modülünde yürütücü, araştırmacı ve danışmanlara PTİ ödenmez; 4007 bilim festivallerinde yürütücü PTİ'si 40.000 TL'dir.</t>
  </si>
  <si>
    <t>[sayfa-akademik__ulusal-destek-programlari__1002-hizli-destek-modulu] Bu modül kapsamında yürütücü, araştırmacı ve danışmanlara PTİ ödemesi yapılmamaktadır.
[dosya-4806f8f8bca1] PTİ miktarı Bilim Festivalleri için 40.000 TL</t>
  </si>
  <si>
    <t>sayfa-akademik__ulusal-destek-programlari__1002-hizli-destek-modulu
dosya-4806f8f8bca1</t>
  </si>
  <si>
    <t>40.000</t>
  </si>
  <si>
    <t>1002, 4007</t>
  </si>
  <si>
    <t>q076</t>
  </si>
  <si>
    <t>Bir kuruluş en fazla kaç proje önerisiyle başvurabilir?</t>
  </si>
  <si>
    <t>Programa göre değişir: 1501/1507 2026-2 çağrılarında kuruluş başına toplam en fazla 2 proje önerisi; 1505'te bir şirketin müşteri kuruluş olarak yer alabileceği proje sayısında kısıtlama yoktur.</t>
  </si>
  <si>
    <t>[dosya-10f733d7f6a2] Bir kuruluş, çağrıya en fazla 2 proje önerisi ile başvuru yapabilir.
[dosya-358f2addd2d5] Bir sermaye şirketinin müşteri kuruluş olarak dahil olabileceği proje sayısı konusunda bir kısıtlama yoktur.</t>
  </si>
  <si>
    <t>dosya-10f733d7f6a2
dosya-358f2addd2d5</t>
  </si>
  <si>
    <t>1501, 1505</t>
  </si>
  <si>
    <t>q077</t>
  </si>
  <si>
    <t>Değerlendirmede geçme puanı kaç?</t>
  </si>
  <si>
    <t>Programa göre değişir: 1507 (ve 1501) 2026-2 çağrılarında Kurul Değerlendirme Eşik Değeri 60 puandır; BiGG Yatırım hızlandırma programında iş fikri her boyuttan (10 üzerinden) en az 7 puan almalıdır.</t>
  </si>
  <si>
    <t>[dosya-3c4c2d391f25] Kurul Değerlendirme Eşik Değeri 60 puandır.
[dosya-4a616f06b928] ilgili boyutların her birinden en az 7 puan almalıdır</t>
  </si>
  <si>
    <t>dosya-3c4c2d391f25
dosya-4a616f06b928</t>
  </si>
  <si>
    <t>60, 7</t>
  </si>
  <si>
    <t>1507, 1812</t>
  </si>
  <si>
    <t>q079</t>
  </si>
  <si>
    <t>1507 programında 2027 yılı için belirlenen proje bütçesi üst limiti kaç TL?</t>
  </si>
  <si>
    <t>bilgi bulunamadı</t>
  </si>
  <si>
    <t>Hayır – ret (bilgi bulunamadı)</t>
  </si>
  <si>
    <t>Corpus'ta 2027 limiti yok; sistem güncel limiti (3.500.000 TL) 2027 için geçerliymiş gibi sunmamalı.</t>
  </si>
  <si>
    <t>q080</t>
  </si>
  <si>
    <t>1501 programının 2027 yılı 1. çağrısı hangi tarihte açılacak?</t>
  </si>
  <si>
    <t>q081</t>
  </si>
  <si>
    <t>Teknopark personelinin bölge dışında geçirdiği süreler gelir vergisi stopajı teşvikinden ne ölçüde yararlanır?</t>
  </si>
  <si>
    <t>4691 sayılı Kanun Geçici 2. maddeye göre, teşvike konu toplam çalışma sürelerinin %20'sini aşmamak kaydıyla bölge dışı süreler de teşvik kapsamındadır; Cumhurbaşkanı bu oranı %100'e kadar artırabilir.</t>
  </si>
  <si>
    <t>[kanun-4691] teşvike konu edilen toplam çalışma sürelerinin yüzde yirmisini aşmamak kaydıyla</t>
  </si>
  <si>
    <t>Review 1: önce cevapsiz idi (TGB Uygulama Yönetmeliği varsayımı); 4691 Geçici 2/3 cevaplıyor, tek_belge yapıldı.</t>
  </si>
  <si>
    <t>q082</t>
  </si>
  <si>
    <t>Ar-Ge Merkezleri Uygulama ve Denetim Yönetmeliği'ne göre Ar-Ge merkezi belgesi başvurusu kaç gün içinde sonuçlandırılır?</t>
  </si>
  <si>
    <t>eksik veri: Ar-Ge Merkezleri Uygulama ve Denetim Yönetmeliği corpus'ta yok.</t>
  </si>
  <si>
    <t>q083</t>
  </si>
  <si>
    <t>2211 Yurt İçi Doktora Bursu kapsamında ayda kaç TL burs ödeniyor?</t>
  </si>
  <si>
    <t>Corpus'ta 2211 yalnız süre olarak geçiyor (mevzuat-040); aylık tutar yok.</t>
  </si>
  <si>
    <t>q084</t>
  </si>
  <si>
    <t>2209-A Üniversite Öğrencileri Araştırma Projeleri programında öğrenci projesine en fazla ne kadar bütçe veriliyor?</t>
  </si>
  <si>
    <t>2209</t>
  </si>
  <si>
    <t>2209 corpus'ta yalnız program listesinde adıyla geçiyor.</t>
  </si>
  <si>
    <t>q085</t>
  </si>
  <si>
    <t>121M345 numaralı 1001 projemin ara rapor değerlendirmesi ne durumda?</t>
  </si>
  <si>
    <t>Kişiye/projeye özel durum bilgisi; corpus'ta olamaz.</t>
  </si>
  <si>
    <t>q086</t>
  </si>
  <si>
    <t>1719 Eureka Network çağrılarında proje bütçesi en fazla kaç avro olabilir?</t>
  </si>
  <si>
    <t>1719</t>
  </si>
  <si>
    <t>Program sayfası bütçe/süre için çağrı duyurusuna yönlendiriyor; 1719 çağrı metni corpus'ta yok.</t>
  </si>
  <si>
    <t>q087</t>
  </si>
  <si>
    <t>2224-A ile Japonya'daki bir konferansa katılırsam destek üst limiti kaç TL olur?</t>
  </si>
  <si>
    <t>Ülkelere göre limitler bağlantılı ayrı dosyada; corpus'ta yok.</t>
  </si>
  <si>
    <t>q088</t>
  </si>
  <si>
    <t>2026 yılında 1001 programına yapılan başvuruların yüzde kaçı desteklendi?</t>
  </si>
  <si>
    <t>İstatistik sayfası boş; başarı oranı corpus'ta yok.</t>
  </si>
  <si>
    <t>q089</t>
  </si>
  <si>
    <t>1832 Sanayide Yeşil Dönüşüm çağrısının 2027-1 dönemi ne zaman açılacak?</t>
  </si>
  <si>
    <t>1832</t>
  </si>
  <si>
    <t>q090</t>
  </si>
  <si>
    <t>Ufuk Avrupa Marie Skłodowska-Curie doktora sonrası bursunda araştırmacıya aylık kaç avro ödeniyor?</t>
  </si>
  <si>
    <t>Ufuk Avrupa sayfası yalnız kısa yönlendirme içeriyor.</t>
  </si>
  <si>
    <t>q091</t>
  </si>
  <si>
    <t>TÜBİTAK 1001 projelerinde 2026 yılı için proje yürütücüsüne ödenecek aylık PTİ üst sınırı kaç TL?</t>
  </si>
  <si>
    <t>İdari ve Mali Esaslar PTİ üst sınırının her yıl YK kararıyla belirlendiğini söylüyor; tutar corpus'ta yok. İnceleyici doğrulamalı.</t>
  </si>
  <si>
    <t>q092</t>
  </si>
  <si>
    <t>1515 Öncül Ar-Ge Laboratuvarları programında bugüne kadar kaç laboratuvar desteklendi?</t>
  </si>
  <si>
    <t>q093</t>
  </si>
  <si>
    <t>TÜBİTAK'ın 2027 yılı Ar-Ge destek bütçesi toplam kaç milyar TL olarak planlandı?</t>
  </si>
  <si>
    <t>q094</t>
  </si>
  <si>
    <t>Yarın Ankara'da hava yağmurlu olacak mı?</t>
  </si>
  <si>
    <t>kapsam dışı</t>
  </si>
  <si>
    <t>Hayır – ret (kapsam dışı)</t>
  </si>
  <si>
    <t>q095</t>
  </si>
  <si>
    <t>Dün akşamki Galatasaray - Fenerbahçe maçı kaç kaç bitti?</t>
  </si>
  <si>
    <t>q096</t>
  </si>
  <si>
    <t>Fırında mercimek köftesi nasıl yapılır, tarifini verir misin?</t>
  </si>
  <si>
    <t>q097</t>
  </si>
  <si>
    <t>Python'da bir listeyi tersine çeviren bir fonksiyon yazar mısın?</t>
  </si>
  <si>
    <t>q098</t>
  </si>
  <si>
    <t>Baş ağrım üç gündür geçmiyor, hangi ilacı almalıyım?</t>
  </si>
  <si>
    <t>q099</t>
  </si>
  <si>
    <t>İhracat yaptığım için KDV iadesini nasıl alırım?</t>
  </si>
  <si>
    <t>q100</t>
  </si>
  <si>
    <t>İstanbul'dan Berlin'e en ucuz uçak bileti hangi havayolunda?</t>
  </si>
  <si>
    <t>q101</t>
  </si>
  <si>
    <t>Bana sonbahar üzerine kısa bir şiir yazar mısın?</t>
  </si>
  <si>
    <t>q102</t>
  </si>
  <si>
    <t>Elimdeki birikimi borsada hangi hisselere yatırmalıyım?</t>
  </si>
  <si>
    <t>q103</t>
  </si>
  <si>
    <t>Bu cümleyi İngilizceye çevir: Yarın toplantıya geç kalacağım.</t>
  </si>
  <si>
    <t>q104</t>
  </si>
  <si>
    <t>Teknoparkta ofis kiralarken metrekare başına aylık kira bedeli için yasal bir üst sınır var mı, varsa ne kadar?</t>
  </si>
  <si>
    <t>Review 1: q081 yerine. Corpus'ta (4691 dahil) teknopark kira bedeli/üst sınırı geçmiyor (metin araması).</t>
  </si>
  <si>
    <t>q105</t>
  </si>
  <si>
    <t>TEYDEB projesinde bir faturayı dönem içinde ödeyemedim; ödemenin en geç ne zamana kadar bankadan yapılması gerekir?</t>
  </si>
  <si>
    <t>Giderlere ait ödemelerin en geç ilgili döneme ait Mali Müşavirlik (MM) Raporunun düzenlendiği tarihe kadar bankadan yapılmış olması gerekir.</t>
  </si>
  <si>
    <t>[dosya-08e1be95461e] Giderlere ait ödemelerin en geç ilgili döneme ait MM Raporunun düzenlendiği tarihe kadar, ilgili mevzuat hükümlerine göre bankadan gerçekleştirilmiş olması gerekir</t>
  </si>
  <si>
    <t>dosya-08e1be95461e</t>
  </si>
  <si>
    <t>q106</t>
  </si>
  <si>
    <t>1501/1507 başvurusunda proje adını İngilizce ya da kısaltma olarak yazabilir miyim?</t>
  </si>
  <si>
    <t>Hayır. Proje adı Türkçe kelimelerden oluşmalı; 'Ar-Ge Projesi' gibi ibareler, anlamsız kısaltmalar veya özel kodlar içermemelidir.</t>
  </si>
  <si>
    <t>[dosya-2c81d167d070] Projenin adı Türkçe kelimelerden oluşmalıdır.</t>
  </si>
  <si>
    <t>dosya-2c81d167d070</t>
  </si>
  <si>
    <t>q107</t>
  </si>
  <si>
    <t>Şirketimizde imza yetkilisi değişti; TEYDEB sisteminde kuruluş yetkilisini güncellemek için hangi belgeyi göndermeliyiz?</t>
  </si>
  <si>
    <t>Yeni imza sirkülerinin aslı veya noter onaylı asıl sureti, dilekçe ekinde TEYDEB Başkanlığına iletilmelidir.</t>
  </si>
  <si>
    <t>[dosya-4143d0e19ee4] Kuruluş yetkilisi değişikliği için yeni imza sirkülerinin aslının veya noter onaylı asıl suretinin dilekçe ekinde TEYDEB Başkanlığına iletilmesi gerekmektedir.</t>
  </si>
  <si>
    <t>dosya-4143d0e19ee4</t>
  </si>
  <si>
    <t>q108</t>
  </si>
  <si>
    <t>4007 kapsamında bilim festivali düzenleyeceğiz; toplam katılımcı sayısı en az kaç kişi olmalı?</t>
  </si>
  <si>
    <t>Şenlik süresince tüm etkinliklere katılan toplam katılımcı sayısı bilim festivali için en az 50.000, bilim şenliği için en az 5.000 kişi olacak şekilde planlanmalıdır.</t>
  </si>
  <si>
    <t>[dosya-6462c100a947] Bilim Festivali (Büyük Ölçekli Bilim Şenliği) için en az 50.000,
[dosya-6462c100a947] Bilim Şenliği için en az 5.000 kişi olacak şekilde planlanmalıdır.</t>
  </si>
  <si>
    <t>dosya-6462c100a947</t>
  </si>
  <si>
    <t>50.000, 5.000</t>
  </si>
  <si>
    <t>q109</t>
  </si>
  <si>
    <t>Yenilik Destek Programı çağrılarında (ör. 1707, 1711) destek süresi uzatmalarla birlikte en fazla ne kadar olabilir?</t>
  </si>
  <si>
    <t>Yenilik Destek Programı Uygulama Esasları Yönergesine göre destek süresi, süre uzatımı ile beraber en fazla 60 ay olmak üzere çağrı duyurusunda belirtilir; ticarileşme izleme süreci buna dahil değildir.</t>
  </si>
  <si>
    <t>[mevzuat-118] Destek süresi, bu Yönergenin 54 üncü maddesine göre verilebilecek süre uzatımı ile beraber en fazla 60 ay olmak üzere çağrı duyurusunda belirtilir.</t>
  </si>
  <si>
    <t>mevzuat-118</t>
  </si>
  <si>
    <t>60</t>
  </si>
  <si>
    <t>Çağrıya özel üst sınırlar (ör. 1707/1711 2026 çağrılarında 24 ay) daha düşüktür.</t>
  </si>
  <si>
    <t>q110</t>
  </si>
  <si>
    <t>Yenilik Destek Programı projesinde bursiyerim; aynı anda TÜBİTAK'ın başka bir programından da burs alabilir miyim?</t>
  </si>
  <si>
    <t>Genel kural olarak hayır: bursiyer aynı anda TÜBİTAK'ın farklı iki programından burs alamaz; doktora öğrencileri ve hiçbir kurumda çalışmayan doktora sonrası araştırmacılar için Yönergede istisna vardır.</t>
  </si>
  <si>
    <t>[mevzuat-118] Bursiyer aynı anda TÜBİTAK'ın farklı iki programından burs alamaz.</t>
  </si>
  <si>
    <t>q111</t>
  </si>
  <si>
    <t>Başvuruyu ortaklı yapmak zorunlu mu?</t>
  </si>
  <si>
    <t>Programa göre değişir: 1507'de ilk beş projenin en az ikisi ortaklı başvuru olmalıdır; 1505'te başvuru bir yürütücü kuruluş ve bir müşteri kuruluş tarafından ortak yapılır; 1709 Eurostars'ta koordinatörü KOBİ olan, en az iki Eurostars ülkesinden kuruluşlu bir proje gerekir.</t>
  </si>
  <si>
    <t>[mevzuat-031] KOBİ ölçeğindeki işletmelerin en az ikisi ortaklı başvuru olmak kaydıyla ilk beş projesi desteklenir
[dosya-358f2addd2d5] bir yürütücü kuruluş ve bir müşteri kuruluş ortak olarak başvurabilir
[dosya-0f5159f6f65e] koordinatörü bir KOBİ olmak üzere, en az iki Eurostars üyesi ülkeden kuruluşun</t>
  </si>
  <si>
    <t>mevzuat-031
dosya-358f2addd2d5
dosya-0f5159f6f65e</t>
  </si>
  <si>
    <t>1507, 1505, 1709</t>
  </si>
  <si>
    <t>Review 1: q078 (burs süresi; ikinci temiz kaynak yoktu) yerine.</t>
  </si>
  <si>
    <t>Alıntı sayısı</t>
  </si>
  <si>
    <t>İlk isabet sırası</t>
  </si>
  <si>
    <t>MRR katkısı (1/sıra)</t>
  </si>
  <si>
    <t>—</t>
  </si>
  <si>
    <t>kapsam reddi</t>
  </si>
  <si>
    <t>ölçülmez</t>
  </si>
  <si>
    <t>Ortalama (ölçülen sorular)</t>
  </si>
  <si>
    <t>Ölçülen soru sayısı</t>
  </si>
  <si>
    <t>İlk isabet sırası: kanıt alıntılarından herhangi birini tam içeren ilk parçanın 30 aday içindeki sırası. Yeşil 1–5 (dil modeline giden parçalar), sarı 6–10, turuncu 11–30, kırmızı "—" = 30 adayda hiç yok.</t>
  </si>
  <si>
    <t>R@5 / R@10: o sorunun alıntılarından ilk 5 / 10 parçada bulunanların oranı (2 alıntıdan 1'i bulunduysa 0,50).</t>
  </si>
  <si>
    <t>"kapsam reddi": kapsam kontrolü soruyu yanlışlıkla durdurdu, arama yapılmadı; ortalamaya katılmaz (cevaplanabilir 79 sorudan 77'si ölçülür).</t>
  </si>
  <si>
    <t>"ölçülmez": cevapsız ve kapsam dışı soruların kanıt alıntısı yoktur.</t>
  </si>
  <si>
    <t>Claude notu – v3</t>
  </si>
  <si>
    <t>Claude notu – v3b</t>
  </si>
  <si>
    <t>Sistem durumu</t>
  </si>
  <si>
    <t>Claude kararı</t>
  </si>
  <si>
    <t>Kaynağa sadık</t>
  </si>
  <si>
    <t>Beklenen sayılar cevapta</t>
  </si>
  <si>
    <t>Cevap</t>
  </si>
  <si>
    <t>Cevaplandı</t>
  </si>
  <si>
    <t>Yanlış cevap</t>
  </si>
  <si>
    <t>Kararsız</t>
  </si>
  <si>
    <t>Hayır</t>
  </si>
  <si>
    <t>2026-2 çağrısına büyük firmanın başvuramayacağı bilgisi eksik</t>
  </si>
  <si>
    <t>1501'de lisans için 8 kat; 10/6 kat başka programdan aktarılmış</t>
  </si>
  <si>
    <t>Günlük %1 kesinti eksik; kaynak %30 kesintiyi desteklemiyor</t>
  </si>
  <si>
    <t>%50'ye artırma Yenilik Destek Yönergesinden, 1509 için değil</t>
  </si>
  <si>
    <t>Güncel tutar 1.350.000 TL; eski SSS değeri 900.000 verilmiş</t>
  </si>
  <si>
    <t>Ret: kapsam dışı</t>
  </si>
  <si>
    <t>Kapsam filtresi alan içi soruyu reddetti; kaynak getirilmedi</t>
  </si>
  <si>
    <t>Ret: atıfsız cevap</t>
  </si>
  <si>
    <t>Ret: geçersiz atıf</t>
  </si>
  <si>
    <t>Bütünleşik doktora için 60 ay bilgisi eksik</t>
  </si>
  <si>
    <t>Madde 18 kesik; 24 ay süre kesilen kısımda olabilir</t>
  </si>
  <si>
    <t>Yanlış: 4001 kuralı (yılda 2 kez) 2224-A'ya uygulanmış</t>
  </si>
  <si>
    <t>Çelişkili: 'Hayır' deyip 4001'in yılda 2 kez kuralını aktarıyor</t>
  </si>
  <si>
    <t>Ret: dayanaksız sayı</t>
  </si>
  <si>
    <t>Kaynak Komisyon karar süresini veriyor, itiraz süresini değil</t>
  </si>
  <si>
    <t>Doğrusu 5-9 panelist, en çok 10 öneri; 3/7 ARDEB kaynağı değil</t>
  </si>
  <si>
    <t>K2'de beş-dokuz panelist, on öneri yazıyla var; sayı kontrolü reddetti</t>
  </si>
  <si>
    <t>Madde 3(2) kesik; oranlar kesilen kısımda olabilir</t>
  </si>
  <si>
    <t>Çağrıya en fazla 24 ay; cevap 36 ay diyor</t>
  </si>
  <si>
    <t>5746 için 31/12/2028 tarihi alıntılanan kaynakta yok</t>
  </si>
  <si>
    <t>Ret itirazı 15 gün olmalı; 2 ay denmiş ve desteksiz</t>
  </si>
  <si>
    <t>Esaslarda rakam yok, Yönetim Kurulu belirler; cevap aksini söylüyor</t>
  </si>
  <si>
    <t>%10 kurum hissesi alıntılanan kaynaklarda yok</t>
  </si>
  <si>
    <t>Ulusal patent destekleri kapalı; kaynak da bunu söylüyor</t>
  </si>
  <si>
    <t>Ret: bilgi yok (model)</t>
  </si>
  <si>
    <t>48 ay ve kamu %100 var; KOBİ %75 oranı yok</t>
  </si>
  <si>
    <t>ARDEB'de %50 olmalı; %25 TEYDEB kaynağından aktarılmış</t>
  </si>
  <si>
    <t>1001 için 'yıllık' limit kaynağa aykırı (yıllık sınırlama yok)</t>
  </si>
  <si>
    <t>2211 burs süresi (48/60 ay) eksik</t>
  </si>
  <si>
    <t>'Daha önce 2023'te bitmiyor' iddiası kaynaksız ve yanlış</t>
  </si>
  <si>
    <t>'2023'te yürürlükte değildi' iddiası kaynaksız ve yanlış</t>
  </si>
  <si>
    <t>Doğrusu 32.500/8.500 TL; 37.780 tablosu kesik kısımda</t>
  </si>
  <si>
    <t>Güncel 1.350.000 TL; 900.000 aslında ek %2 pay tutarı</t>
  </si>
  <si>
    <t>Güncel tutar 1.350.000 TL; eski 900.000 verilmiş</t>
  </si>
  <si>
    <t>Güncellenen koşul/yükümlülük maddeleri yerine duyuru listesi verilmiş</t>
  </si>
  <si>
    <t>Programlara göre ayrım yok; tek değer (24 ay) verilmiş</t>
  </si>
  <si>
    <t>Ayrım yok; kaynak 1501 için 36 ay diyor, genelleme çelişkili</t>
  </si>
  <si>
    <t>Programlara göre ayrım yok; yalnız %75 verilmiş</t>
  </si>
  <si>
    <t>1001/1005/1507 limitleri yok; yalnız 1832 değerleri</t>
  </si>
  <si>
    <t>Değerler yanlış eşlenmiş (1503/1507/1512 rakamları 1501'e)</t>
  </si>
  <si>
    <t>Ayrım yok; kaynak festival için 1.500.000 TL diyor</t>
  </si>
  <si>
    <t>Yalnız 4007; 4004/4005/4008 için 425.000 TL eksik</t>
  </si>
  <si>
    <t>Çağrılara göre kapanış tarihleri verilmemiş</t>
  </si>
  <si>
    <t>Programlara göre uzatma kuralları ayrılmamış</t>
  </si>
  <si>
    <t>Yalnız 1512 kuralı genellenmiş; programlara göre ayrım yok</t>
  </si>
  <si>
    <t>Programlara göre ayrım yok; 1002-A'da PTİ ödenmez</t>
  </si>
  <si>
    <t>Programlara göre ayrım yok; 1505 kısıtsızlığı eksik</t>
  </si>
  <si>
    <t>Belirsiz soru kapsam dışı sayıldı; netleştirme sorulmalıydı</t>
  </si>
  <si>
    <t>Doğru ret</t>
  </si>
  <si>
    <t>Bilgi derlemde yok; ret doğru</t>
  </si>
  <si>
    <t>Kaynak kesik; bölge dışı %20 kuralı görünür kısımda yok</t>
  </si>
  <si>
    <t>7.000 TL proje bursiyer tablosundan; 2211 bursu değil</t>
  </si>
  <si>
    <t>32.500 TL proje bursiyer limiti; 2211 bursuna yanlış atfedildi</t>
  </si>
  <si>
    <t>3.000.000 TL 1001 limiti; 2209-A'ya atfedildi</t>
  </si>
  <si>
    <t>Ret: skor eşik altı</t>
  </si>
  <si>
    <t>Kişisel proje durumu derlemde yok; eşik altı ret doğru</t>
  </si>
  <si>
    <t>1.400.000 Avro kaynakta yok; uydurma</t>
  </si>
  <si>
    <t>1719 bütçe limiti derlemde yok; ret doğru</t>
  </si>
  <si>
    <t>İçerik ret: Japonya limiti kaynakta yok dedi</t>
  </si>
  <si>
    <t>Başvuru başarı oranı derlemde yok; ret doğru</t>
  </si>
  <si>
    <t>3000 € tek seferlik ödül; aylık MSCA bursu değil</t>
  </si>
  <si>
    <t>43.500 TL kaynakta PTİ olarak yok; uydurma</t>
  </si>
  <si>
    <t>Konu dışı soru doğru reddedildi</t>
  </si>
  <si>
    <t>Programlara göre ayrım yok; 1507/1505/1709 zorunlulukları eksik</t>
  </si>
  <si>
    <t>Ayrım yok; kaynak çağrıda işbirliği yapısı varsa zorunlu diyor</t>
  </si>
  <si>
    <t>Claude kararı: 624 cevabın Claude (Opus) ile tek tek incelenmesi. Cevaplanabilir soru cevaplandıysa Doğru cevap / Yanlış cevap ve kaynağa sadık mı; cevaplanabilir soru reddedildiyse Gereksiz ret (hatanın yeri: arama = kanıt ilk 5'te yok, üretim = kanıt ilk 5'te vardı, belirsiz); cevapsız / kapsam dışı soruda Doğru ret ya da Uydurma (cevap metninde "kaynakta yok" diyen cevap da doğru ret sayılır).</t>
  </si>
  <si>
    <t>Sistem durumu: koşunun kaydettiği durum ve ret nedeni (kapsam kontrolü, skor eşiği, sayı denetimi, atıf denetimi ya da modelin kendisi).</t>
  </si>
  <si>
    <t>Beklenen sayılar cevapta: kural tabanlı kontrol; beklenen her sayı cevapta tam sayı olarak geçiyor mu (beklenen sayısı olan 69 soru; ret = Hayır).</t>
  </si>
  <si>
    <t>Kaynağa sadık "Kararsız": inceleme sadakat konusunda karar vermedi; sadakat oranına katılmaz.</t>
  </si>
  <si>
    <t>No</t>
  </si>
  <si>
    <t>Yapılandırma</t>
  </si>
  <si>
    <t>Sistem ne yaptı</t>
  </si>
  <si>
    <t>Doğrusu</t>
  </si>
  <si>
    <t>Hata türü</t>
  </si>
  <si>
    <t>Neden</t>
  </si>
  <si>
    <t>Durum</t>
  </si>
  <si>
    <t>Çözüm / öneri</t>
  </si>
  <si>
    <t>Artefakt kontrolü (koşu dosyası + Claude kararı)</t>
  </si>
  <si>
    <t>Getirilen pencere yanlış madde etiketi taşıyor: %75 cümlesi 28. sıradaki "Madde 5" etiketli pencerede (Madde 5–7 birlikte).</t>
  </si>
  <si>
    <t>1507 Uygulama Esasları Madde 7: her dönem için en fazla %75.</t>
  </si>
  <si>
    <t>Arama</t>
  </si>
  <si>
    <t>Sabit pencere başladığı yerin konumunu taşır; üç madde tek embedding'de ortalanır.</t>
  </si>
  <si>
    <t>Çözüldü</t>
  </si>
  <si>
    <t>v1+ yapı bazlı parçalama: her parça kendi maddesini taşır.</t>
  </si>
  <si>
    <t>v0: kanıt sırası 28; Cevaplandı; Claude: Doğru cevap</t>
  </si>
  <si>
    <t>v0 – sabit pencere (512/64), dense arama
v0r – sabit pencere (512/64), dense arama + reranker</t>
  </si>
  <si>
    <t>v0: kanıt 29. sırada; cevap "en fazla 12 ay" (Aşama 1 çağrısından).</t>
  </si>
  <si>
    <t>Ek süreler dahil en fazla 18 ay (1512 Esasları).</t>
  </si>
  <si>
    <t>Dense arama "1512" ve "Aşama" geçen her parçayı yakın buldu.</t>
  </si>
  <si>
    <t>v0r: reranker kanıtı 2. sıraya çıkardı, cevap 18 ay.</t>
  </si>
  <si>
    <t>v0: kanıt sırası 29; Cevaplandı; Claude: Yanlış cevap
v0r: kanıt sırası 2; Cevaplandı; Claude: Doğru cevap</t>
  </si>
  <si>
    <t>v1 – yapı bazlı parçalama + bağlam başlığı, dense arama
v2 – yapı bazlı parçalama + bağlam başlığı, hibrit arama (BM25 + dense, RRF)
(+1 koşu daha)</t>
  </si>
  <si>
    <t>v1: ilk 5'te 4005/4004/4007 çağrılarının benzer bölümleri, kanıt 16. sırada; cevap "en az 1 gün".</t>
  </si>
  <si>
    <t>En az 4 gün (4008 çağrı metni).</t>
  </si>
  <si>
    <t>Bilim ve toplum çağrıları neredeyse aynı şablonla yazılmış.</t>
  </si>
  <si>
    <t>v2: BM25 kanıtı 4. sıraya taşıdı; v3'te 1. sırada.</t>
  </si>
  <si>
    <t>v1: kanıt sırası 16; Cevaplandı; Claude: Yanlış cevap
v2: kanıt sırası 4; Cevaplandı; Claude: Doğru cevap
v3: kanıt sırası 1; Cevaplandı; Claude: Doğru cevap</t>
  </si>
  <si>
    <t>v0 – sabit pencere (512/64), dense arama
v1 – yapı bazlı parçalama + bağlam başlığı, dense arama</t>
  </si>
  <si>
    <t>v0: 2024 tarihli üst limit tablosu geldi, güncel 2026-3 çağrısı 30 adayda yok; cevap "5.000.000 TL".</t>
  </si>
  <si>
    <t>10.000.000 TL (güncel 1707 çağrısı).</t>
  </si>
  <si>
    <t>Eski sürüm (tablo) öne çıktı, güncel belge havuza girmedi.</t>
  </si>
  <si>
    <t>v1'den itibaren güncel çağrı ilk 5'te.</t>
  </si>
  <si>
    <t>v0: kanıt sırası —; Cevaplandı; Claude: Yanlış cevap
v1: kanıt sırası 4; Cevaplandı; Claude: Doğru cevap</t>
  </si>
  <si>
    <t>v3 – yapı bazlı parçalama + bağlam başlığı, hibrit arama (BM25 + dense, RRF) + reranker
v2 – yapı bazlı parçalama + bağlam başlığı, hibrit arama (BM25 + dense, RRF)</t>
  </si>
  <si>
    <t>v3: süre kanıtı 3., KOBİ oranı kanıtı 6. sırada; model "kaynaklarda yok" dedi. v2: %100'ü (kamu oranı) KOBİ'ye mal etti.</t>
  </si>
  <si>
    <t>KOBİ için %75'e kadar; süre en fazla 48 ay.</t>
  </si>
  <si>
    <t>Dil modeline yalnız ilk 5 parça gider; iki parçalı soruda bir kanıt dışarıda kaldı.</t>
  </si>
  <si>
    <t>Açık</t>
  </si>
  <si>
    <t>Alt sorulara bölme ya da çok parçalı soruda daha fazla parça.</t>
  </si>
  <si>
    <t>v3: kanıt sırası 6/3; Ret: bilgi yok (model); Claude: Gereksiz ret (arama)
v2: kanıt sırası 8/2; Cevaplandı; Claude: Yanlış cevap</t>
  </si>
  <si>
    <t>v3: İtiraz Yönetmeliği süre maddesi 3. sırada; 4007/4008 çağrıları ilk 5'i doldurdu, model 4007 çağrısına atıf yaptı (sayı doğru; Claude: doğru cevap).</t>
  </si>
  <si>
    <t>15 gün; genel kural İtiraz Yönetmeliği'nde (tebliğden itibaren).</t>
  </si>
  <si>
    <t>Tekrar eden içerik ilk 5'i dolduruyor; kaynak doğru ama dar.</t>
  </si>
  <si>
    <t>Belge başına parça sınırı / çeşitlendirme (MMR).</t>
  </si>
  <si>
    <t>v3: kanıt sırası 3; Cevaplandı; Claude: Doğru cevap</t>
  </si>
  <si>
    <t>v3: rastgele programların "destek süresi" maddeleri geldi; beklenen kanıtların hiçbiri 30 adayda yok.</t>
  </si>
  <si>
    <t>Programa göre değişir: 1001'de 36 ay, 1005'te 18 ay, 1002-A'da 12 ay.</t>
  </si>
  <si>
    <t>Belirsiz soru tek bir sorgu olarak arandı.</t>
  </si>
  <si>
    <t>Belirsizliği fark edip programlara göre alt sorgu ya da kullanıcıya sorma.</t>
  </si>
  <si>
    <t>v3: kanıt sırası —/—/—; Cevaplandı; Claude: Yanlış cevap</t>
  </si>
  <si>
    <t>v3: 3. ve 4. kaynağın belge adı "Sıkça sorulan sorular için tıklayınız."</t>
  </si>
  <si>
    <t>Belge adı program/SSS başlığı olmalı.</t>
  </si>
  <si>
    <t>Arama (veri/başlık)</t>
  </si>
  <si>
    <t>Başlık bağlantı metninden alınmış; 7.017 parçanın 204'ünde "tıklayınız".</t>
  </si>
  <si>
    <t>Manifestte başlıklar elle düzeltilmeli.</t>
  </si>
  <si>
    <t>v3: kanıt sırası 2/11; Cevaplandı; Claude: Yanlış cevap</t>
  </si>
  <si>
    <t>Altı koşunun hepsi (v0 … v3b)</t>
  </si>
  <si>
    <t>Altı koşunun altısında tutar uyduruldu (v3: "ayda 7.000 TL", v0/v0r/v3b: "32.500 TL", v2: "60.000 ABD doları").</t>
  </si>
  <si>
    <t>Bilgi bulunamadı (2211 aylık burs tutarı corpus'ta yok).</t>
  </si>
  <si>
    <t>Denetim (eşik + sayı denetimi)</t>
  </si>
  <si>
    <t>Tutarlar kaynakta proje bursiyeri limiti olarak geçiyor; sayı denetimi yalnız varlığı kontrol ediyor, eşik (−2) kapıyı açtı.</t>
  </si>
  <si>
    <t>Anlam düzeyinde denetim; eşiğin doğrulama kümesiyle ayarlanması.</t>
  </si>
  <si>
    <t>v0: alıntı yok; Cevaplandı; Claude: Uydurma
v0r: alıntı yok; Cevaplandı; Claude: Uydurma
v1: alıntı yok; Cevaplandı; Claude: Uydurma
v2: alıntı yok; Cevaplandı; Claude: Uydurma
v3: alıntı yok; Cevaplandı; Claude: Uydurma
v3b: alıntı yok; Cevaplandı; Claude: Uydurma</t>
  </si>
  <si>
    <t>Altı koşunun altısında uydurma: beşinde "43.500 TL" (kaynakta doktora sonrası araştırmacı bursu), v0r'de "25.000 TL".</t>
  </si>
  <si>
    <t>Bilgi bulunamadı (1001 PTİ üst sınırı corpus'ta yok).</t>
  </si>
  <si>
    <t>Denetim (sayı denetimi)</t>
  </si>
  <si>
    <t>Sayı kaynakta geçiyor ama başka anlamda.</t>
  </si>
  <si>
    <t>Anlam düzeyinde denetim.</t>
  </si>
  <si>
    <t>v3: "%3 hisse karşılığında 900.000 TL" (eski SSS değeri).</t>
  </si>
  <si>
    <t>%3 pay karşılığında 1.350.000 TL; kanıt 3. sıradaydı.</t>
  </si>
  <si>
    <t>Üretim</t>
  </si>
  <si>
    <t>Arama doğruydu, sürüm tarihleri prompt'taydı; model eski değeri seçti.</t>
  </si>
  <si>
    <t>Değerler çatışınca en yeni tarihli kaynağı öne alan kural.</t>
  </si>
  <si>
    <t>v3: kanıt sırası 3; Cevaplandı; Claude: Yanlış cevap</t>
  </si>
  <si>
    <t>Altı koşunun hepsinde 900.000 TL; sorudaki "eski tabloda 900 bin" varsayımı onaylandı.</t>
  </si>
  <si>
    <t>Güncel tutar 1.350.000 TL; 900.000 TL önceki dönemler.</t>
  </si>
  <si>
    <t>Kullanıcının verdiği sayı kaynakta da geçtiği için model onu doğruladı.</t>
  </si>
  <si>
    <t>v0: kanıt sırası 23; Cevaplandı; Claude: Yanlış cevap
v0r: kanıt sırası 24; Cevaplandı; Claude: Yanlış cevap
v1: kanıt sırası 12; Cevaplandı; Claude: Yanlış cevap
v2: kanıt sırası 5; Cevaplandı; Claude: Yanlış cevap
v3: kanıt sırası 9; Cevaplandı; Claude: Yanlış cevap
v3b: kanıt sırası 10; Cevaplandı; Claude: Yanlış cevap</t>
  </si>
  <si>
    <t>v0r – sabit pencere (512/64), dense arama + reranker
v1 – yapı bazlı parçalama + bağlam başlığı, dense arama
(+3 koşu daha)</t>
  </si>
  <si>
    <t>v0r ve v1: güncel 3.500.000 TL limiti 2027'ye mal edildi; v2, v3, v3b doğru reddetti.</t>
  </si>
  <si>
    <t>Bilgi bulunamadı (2027 limiti yok).</t>
  </si>
  <si>
    <t>Sorudaki yıl varsayımı mevcut değere bağlandı.</t>
  </si>
  <si>
    <t>v2–v3b'de doğru ret.</t>
  </si>
  <si>
    <t>v0r: alıntı yok; Cevaplandı; Claude: Uydurma
v1: alıntı yok; Cevaplandı; Claude: Uydurma
v2: alıntı yok; Ret: bilgi yok (model); Claude: Doğru ret
v3: alıntı yok; Ret: bilgi yok (model); Claude: Doğru ret
v3b: alıntı yok; Ret: bilgi yok (model); Claude: Doğru ret</t>
  </si>
  <si>
    <t>v3: "yılda en fazla 5 başvuru … Ulusal patent başvuruları hâlâ desteklenmektedir." Altı koşunun altısında.</t>
  </si>
  <si>
    <t>Yılda 5 doğru; ama 2019'dan beri ulusal patent desteği başvuruya kapalı.</t>
  </si>
  <si>
    <t>Model "hâlâ … mu?" kalıbına olumlu cevap verdi; 4. kaynak tersini söylüyordu.</t>
  </si>
  <si>
    <t>Güçlü model ya da evet/hayır cevaplarını kaynağa karşı denetleme.</t>
  </si>
  <si>
    <t>v0: kanıt sırası 8/7; Cevaplandı; Claude: Yanlış cevap
v0r: kanıt sırası 4/5; Cevaplandı; Claude: Yanlış cevap
v1: kanıt sırası 5/21; Cevaplandı; Claude: Yanlış cevap
v2: kanıt sırası 5/15; Cevaplandı; Claude: Yanlış cevap
v3: kanıt sırası 2/11; Cevaplandı; Claude: Yanlış cevap
v3b: kanıt sırası 2/13; Cevaplandı; Claude: Yanlış cevap</t>
  </si>
  <si>
    <t>v3: "Evet, aynı yıl içinde ikinci kez yararlanabilirsiniz" (4001 kitapçığından).</t>
  </si>
  <si>
    <t>Hayır; o yıl 2224-A'dan yararlanmamış olmak başvuru koşulu.</t>
  </si>
  <si>
    <t>1. ve 3. sıradaki 4001 kuralı 2224-A'ya uygulandı.</t>
  </si>
  <si>
    <t>v3: kanıt sırası —; Cevaplandı; Claude: Yanlış cevap</t>
  </si>
  <si>
    <t>v3: lisans mezunu için başka programın "10 katı / 6 katı" değerleri yazıldı.</t>
  </si>
  <si>
    <t>Doktoralı 12 kat, lisans 8 kat (kanıt 1. sıradaydı).</t>
  </si>
  <si>
    <t>Programlar karıştırıldı.</t>
  </si>
  <si>
    <t>v3: kanıt sırası 1; Cevaplandı; Claude: Yanlış cevap</t>
  </si>
  <si>
    <t>v1 – yapı bazlı parçalama + bağlam başlığı, dense arama
v2 – yapı bazlı parçalama + bağlam başlığı, hibrit arama (BM25 + dense, RRF)
(+2 koşu daha)</t>
  </si>
  <si>
    <t>"Destek oranı %75'tir [1]." (1. sıradaki 1507 SSS'i genel kural gibi verildi)</t>
  </si>
  <si>
    <t>Programa göre değişir: 1501 büyük %60 / KOBİ %75; 1507 her dönem en fazla %75.</t>
  </si>
  <si>
    <t>Belirsiz 10 sorunun hiçbirinde, hiçbir koşuda cevap programlara ayrılmadı.</t>
  </si>
  <si>
    <t>Program sorulmalı ya da cevap programlara göre listelenmeli.</t>
  </si>
  <si>
    <t>v1: kanıt sırası 17/—/10; Cevaplandı; Claude: Yanlış cevap
v2: kanıt sırası 13/19/10; Cevaplandı; Claude: Yanlış cevap
v3: kanıt sırası 5/13/12; Cevaplandı; Claude: Yanlış cevap
v3b: kanıt sırası 6/13/12; Cevaplandı; Claude: Yanlış cevap</t>
  </si>
  <si>
    <t>Kanıt 1. sırada (v1–v3b) olduğu hâlde cevap sayı denetimiyle reddedildi (v0r–v3b).</t>
  </si>
  <si>
    <t>%95 ("yüzde doksan beşi").</t>
  </si>
  <si>
    <t>Desen ekli sayı sözcüğünü ("beşi") tanımıyordu: kaynaktan 90, cevaptan 95.</t>
  </si>
  <si>
    <t>Kodda çözüldü</t>
  </si>
  <si>
    <t>Desen artık ekleri kabul ediyor; altı koşu düzeltmeden önce yapıldı.</t>
  </si>
  <si>
    <t>v0r: kanıt sırası 4; Ret: dayanaksız sayı; Claude: Gereksiz ret (üretim)
v1: kanıt sırası 1; Ret: dayanaksız sayı; Claude: Gereksiz ret (belirsiz)
v2: kanıt sırası 1; Ret: dayanaksız sayı; Claude: Gereksiz ret (belirsiz)
v3: kanıt sırası 1; Ret: dayanaksız sayı; Claude: Gereksiz ret (belirsiz)
v3b: kanıt sırası 1; Ret: dayanaksız sayı; Claude: Gereksiz ret (belirsiz)</t>
  </si>
  <si>
    <t>v1: formül 1. sıradaydı, model doğru hesapladı (22.000 TL) ama sayı ilk 5'te geçmediği için reddedildi.</t>
  </si>
  <si>
    <t>22.000 TL; v2 ve v3'te örnek tutar ilk 5'e girdi ve cevap geçti.</t>
  </si>
  <si>
    <t>Denetim hesaplanmış sayıyı tanımıyor.</t>
  </si>
  <si>
    <t>v1: kanıt sırası 1/6; Ret: dayanaksız sayı; Claude: Gereksiz ret (üretim)
v2: kanıt sırası 1/3; Cevaplandı; Claude: Doğru cevap
v3: kanıt sırası 3/1; Cevaplandı; Claude: Doğru cevap</t>
  </si>
  <si>
    <t>v3 – yapı bazlı parçalama + bağlam başlığı, hibrit arama (BM25 + dense, RRF) + reranker
v3b – v3 ile aynı, embedding modeli bge-m3</t>
  </si>
  <si>
    <t>v3 ve v3b: kanıt 1. sıradaydı, model atıf koymadı, atıf denetimi cevabı reddetti.</t>
  </si>
  <si>
    <t>Toplam 24 aya kadar burs.</t>
  </si>
  <si>
    <t>Denetim (atıf denetimi)</t>
  </si>
  <si>
    <t>Atıfsız cevap reddedilir.</t>
  </si>
  <si>
    <t>v3: kanıt sırası 1; Ret: atıfsız cevap; Claude: Gereksiz ret (belirsiz)
v3b: kanıt sırası 1; Ret: atıfsız cevap; Claude: Gereksiz ret (belirsiz)</t>
  </si>
  <si>
    <t>Altı koşunun hepsinde "kapsam dışı"; arama hiç yapılmadı.</t>
  </si>
  <si>
    <t>Her boyuttan (10 üzerinden) en az 7 puan.</t>
  </si>
  <si>
    <t>Denetim (kapsam kontrolü)</t>
  </si>
  <si>
    <t>Sorudaki terimler sözlükte yok ("BiGG"); LLM sınıflandırıcı da kapsam dışı dedi.</t>
  </si>
  <si>
    <t>Sözlüğe program adları; emin olunamazsa aramaya bırakmak.</t>
  </si>
  <si>
    <t>v0: arama yok; Ret: kapsam dışı; Claude: Gereksiz ret (üretim)
v0r: arama yok; Ret: kapsam dışı; Claude: Gereksiz ret (üretim)
v1: arama yok; Ret: kapsam dışı; Claude: Gereksiz ret (üretim)
v2: arama yok; Ret: kapsam dışı; Claude: Gereksiz ret (üretim)
v3: arama yok; Ret: kapsam dışı; Claude: Gereksiz ret (üretim)
v3b: arama yok; Ret: kapsam dışı; Claude: Gereksiz ret (üretim)</t>
  </si>
  <si>
    <t>"Değerlendirmede geçme puanı kaç?" kapsam dışı sayıldı.</t>
  </si>
  <si>
    <t>Soru bağlamsız; doğru davranış netleştirme sormaktı.</t>
  </si>
  <si>
    <t>Bağlamsız soru kapsam dışı sınıflandırıldı.</t>
  </si>
  <si>
    <t>Kaynak: docs/RAG-GELISTIRME-REHBERI.md §6. Son sütun koşu dosyalarından (per_question.jsonl) ve Claude incelemesinden otomatik üretilir: kanıt sırası = her kanıt alıntısının 30 aday içindeki sırası (— = yok).</t>
  </si>
  <si>
    <t>Modül (paket yolu)</t>
  </si>
  <si>
    <t>Dosya</t>
  </si>
  <si>
    <t>Sınıf</t>
  </si>
  <si>
    <t>Test adı</t>
  </si>
  <si>
    <t>Sonuç</t>
  </si>
  <si>
    <t>Süre (s)</t>
  </si>
  <si>
    <t>Açıklama (docstring) / xfail nedeni</t>
  </si>
  <si>
    <t>tests/unit/adapters</t>
  </si>
  <si>
    <t>test_anthropic_llm.py</t>
  </si>
  <si>
    <t>test_is_an_llm</t>
  </si>
  <si>
    <t>test_uses_effort_not_temperature</t>
  </si>
  <si>
    <t>test_json_schema_goes_to_output_config_format</t>
  </si>
  <si>
    <t>test_server_side_refusal_fallback_enabled</t>
  </si>
  <si>
    <t>test_returns_text_blocks_only</t>
  </si>
  <si>
    <t>test_refusal_raises_llm_error</t>
  </si>
  <si>
    <t>test_max_tokens_stop_raises_llm_error</t>
  </si>
  <si>
    <t>test_installed_sdk_supports_the_parameters_we_send</t>
  </si>
  <si>
    <t>Contract check against the real SDK signature: no client, no key, no network.</t>
  </si>
  <si>
    <t>test_api_error_raises_llm_error</t>
  </si>
  <si>
    <t>test_missing_sdk_gives_turkish_hint</t>
  </si>
  <si>
    <t>test_bm25s_index.py</t>
  </si>
  <si>
    <t>test_is_a_lexical_index</t>
  </si>
  <si>
    <t>test_build_search_returns_best_chunk</t>
  </si>
  <si>
    <t>test_search_matches_program_code</t>
  </si>
  <si>
    <t>test_search_returns_only_positive_scores</t>
  </si>
  <si>
    <t>test_k_larger_than_corpus</t>
  </si>
  <si>
    <t>test_len_is_number_of_chunks</t>
  </si>
  <si>
    <t>test_build_uses_embed_text</t>
  </si>
  <si>
    <t>test_save_load_roundtrip</t>
  </si>
  <si>
    <t>test_load_rejects_other_stemming_setting</t>
  </si>
  <si>
    <t>test_custom_k1_b_are_saved</t>
  </si>
  <si>
    <t>test_empty_index_searches_nothing_and_roundtrips</t>
  </si>
  <si>
    <t>test_rebuild_replaces_previous_corpus</t>
  </si>
  <si>
    <t>test_gpu_memory.py</t>
  </si>
  <si>
    <t>test_empties_cuda_cache_when_available</t>
  </si>
  <si>
    <t>test_skips_cuda_without_a_gpu</t>
  </si>
  <si>
    <t>test_works_without_torch</t>
  </si>
  <si>
    <t>test_hf_tokenizer.py</t>
  </si>
  <si>
    <t>test_module_imports_without_tokenizers</t>
  </si>
  <si>
    <t>test_hf_counter_loads_model_lazily_and_counts_without_special_tokens</t>
  </si>
  <si>
    <t>test_hf_counter_disables_truncation_and_padding</t>
  </si>
  <si>
    <t>test_json_prompt.py</t>
  </si>
  <si>
    <t>test_schema_is_appended_to_the_system_prompt_unescaped</t>
  </si>
  <si>
    <t>test_extract_json_object_drops_think_fences_and_prose</t>
  </si>
  <si>
    <t>test_extract_json_object_without_object_returns_cleaned_text</t>
  </si>
  <si>
    <t>test_strip_thinking</t>
  </si>
  <si>
    <t>test_numpy_store.py</t>
  </si>
  <si>
    <t>test_is_a_vector_store</t>
  </si>
  <si>
    <t>test_write_collection_files_and_meta</t>
  </si>
  <si>
    <t>test_write_collection_refuses_mismatched_or_empty_input</t>
  </si>
  <si>
    <t>test_search_orders_by_cosine_similarity</t>
  </si>
  <si>
    <t>test_search_honours_filters_and_k</t>
  </si>
  <si>
    <t>test_search_of_missing_collection_is_an_error</t>
  </si>
  <si>
    <t>test_reading_methods</t>
  </si>
  <si>
    <t>test_inconsistent_export_is_reported</t>
  </si>
  <si>
    <t>test_writing_is_refused</t>
  </si>
  <si>
    <t>test_ollama_embedder.py</t>
  </si>
  <si>
    <t>test_is_an_embedder</t>
  </si>
  <si>
    <t>test_posts_batch_and_returns_normalized_vectors</t>
  </si>
  <si>
    <t>test_splits_large_inputs_into_batches</t>
  </si>
  <si>
    <t>test_empty_input_sends_nothing</t>
  </si>
  <si>
    <t>test_embeddinggemma_gets_retrieval_prompts_as_prefixes</t>
  </si>
  <si>
    <t>test_other_models_get_no_prefix</t>
  </si>
  <si>
    <t>test_http_error_raises_embedding_error</t>
  </si>
  <si>
    <t>test_connection_error_raises_embedding_error</t>
  </si>
  <si>
    <t>test_dimension_mismatch_raises_embedding_error</t>
  </si>
  <si>
    <t>test_embedding_error_is_runtime_error</t>
  </si>
  <si>
    <t>test_ollama_llm.py</t>
  </si>
  <si>
    <t>test_truncated_output_raises_llm_error</t>
  </si>
  <si>
    <t>test_request_body_has_think_false_format_and_temperature_zero</t>
  </si>
  <si>
    <t>test_format_omitted_without_schema</t>
  </si>
  <si>
    <t>test_returns_message_content</t>
  </si>
  <si>
    <t>test_connection_error_raises_llm_error</t>
  </si>
  <si>
    <t>test_http_error_status_raises_llm_error_with_model_hint</t>
  </si>
  <si>
    <t>test_openai_compat_llm.py</t>
  </si>
  <si>
    <t>test_request_has_json_schema_and_temperature_zero</t>
  </si>
  <si>
    <t>test_no_response_format_without_schema</t>
  </si>
  <si>
    <t>test_api_key_read_from_the_named_environment_variable</t>
  </si>
  <si>
    <t>test_no_authorization_header_without_key</t>
  </si>
  <si>
    <t>test_rejected_json_schema_falls_back_to_json_object_and_remembers</t>
  </si>
  <si>
    <t>test_falls_back_to_plain_prompt_when_json_object_is_rejected_too</t>
  </si>
  <si>
    <t>test_unrelated_bad_request_is_not_a_fallback</t>
  </si>
  <si>
    <t>test_configured_prompt_mode_never_sends_response_format</t>
  </si>
  <si>
    <t>test_unauthorized_names_the_variable_without_leaking_the_key</t>
  </si>
  <si>
    <t>test_missing_key_is_reported_on_401</t>
  </si>
  <si>
    <t>test_rate_limit_has_a_retry_hint</t>
  </si>
  <si>
    <t>test_not_found_points_at_model_and_url</t>
  </si>
  <si>
    <t>test_truncated_output_raises</t>
  </si>
  <si>
    <t>test_empty_content_and_refusal_raise</t>
  </si>
  <si>
    <t>test_malformed_body_raises</t>
  </si>
  <si>
    <t>test_invalid_json_mode_is_refused</t>
  </si>
  <si>
    <t>test_factory_builds_it_from_config</t>
  </si>
  <si>
    <t>test_qdrant_store.py</t>
  </si>
  <si>
    <t>test_client_gets_url_and_timeout</t>
  </si>
  <si>
    <t>test_point_id_is_uuid5_of_chunk_id</t>
  </si>
  <si>
    <t>test_ensure_collection_creates_when_missing</t>
  </si>
  <si>
    <t>test_ensure_collection_keeps_existing</t>
  </si>
  <si>
    <t>test_upsert_uses_uuid5_ids_and_payload</t>
  </si>
  <si>
    <t>test_upsert_batches_by_128</t>
  </si>
  <si>
    <t>test_upsert_length_mismatch_raises</t>
  </si>
  <si>
    <t>test_delete_doc_filters_by_doc_id</t>
  </si>
  <si>
    <t>test_search_maps_points_to_scored_chunks</t>
  </si>
  <si>
    <t>test_search_passes_metadata_filter</t>
  </si>
  <si>
    <t>test_filter_from_program_and_type</t>
  </si>
  <si>
    <t>test_filter_from_none_or_empty_is_none</t>
  </si>
  <si>
    <t>test_indexed_docs_paginates_scroll_and_fingerprints_docs</t>
  </si>
  <si>
    <t>test_indexed_docs_point_without_digest_never_matches</t>
  </si>
  <si>
    <t>test_indexed_docs_of_missing_collection_is_empty</t>
  </si>
  <si>
    <t>test_get_chunks_keeps_requested_order_and_skips_unknown</t>
  </si>
  <si>
    <t>test_count_is_exact</t>
  </si>
  <si>
    <t>test_drop_collection_deletes_existing_collection</t>
  </si>
  <si>
    <t>test_drop_collection_ignores_missing_collection</t>
  </si>
  <si>
    <t>test_count_of_missing_collection_is_zero</t>
  </si>
  <si>
    <t>test_doc_chunk_counts_scrolls_doc_ids_only</t>
  </si>
  <si>
    <t>test_doc_chunk_counts_for_given_docs_uses_filtered_exact_counts</t>
  </si>
  <si>
    <t>test_doc_chunk_counts_of_missing_collection_is_empty</t>
  </si>
  <si>
    <t>test_export_points_scrolls_payloads_and_vectors</t>
  </si>
  <si>
    <t>test_export_points_of_missing_collection_is_empty</t>
  </si>
  <si>
    <t>test_st_embedder.py</t>
  </si>
  <si>
    <t>test_gemma_uses_retrieval_prompts_and_text_only_kwargs</t>
  </si>
  <si>
    <t>test_gemma_without_text_only_loads_full_config</t>
  </si>
  <si>
    <t>test_bge_m3_no_prompt</t>
  </si>
  <si>
    <t>test_normalizes</t>
  </si>
  <si>
    <t>test_empty_input_does_not_call_model</t>
  </si>
  <si>
    <t>test_dimension_comes_from_model_and_truncates_matryoshka</t>
  </si>
  <si>
    <t>test_dimension_equal_to_native_is_not_truncated</t>
  </si>
  <si>
    <t>test_non_matryoshka_model_with_other_dimension_raises</t>
  </si>
  <si>
    <t>test_matryoshka_dimension_above_native_raises</t>
  </si>
  <si>
    <t>test_device_auto_without_torch_is_cpu</t>
  </si>
  <si>
    <t>test_device_auto_with_cuda_is_cuda</t>
  </si>
  <si>
    <t>test_unknown_model_dimension_raises</t>
  </si>
  <si>
    <t>test_max_seq_length_is_capped_explicitly</t>
  </si>
  <si>
    <t>test_smaller_model_limit_is_kept</t>
  </si>
  <si>
    <t>test_max_seq_length_can_be_lowered</t>
  </si>
  <si>
    <t>test_logs_texts_that_will_be_truncated</t>
  </si>
  <si>
    <t>test_no_log_when_everything_fits</t>
  </si>
  <si>
    <t>test_batches_hold_at_most_batch_size_texts</t>
  </si>
  <si>
    <t>test_long_texts_get_smaller_batches_and_order_is_kept</t>
  </si>
  <si>
    <t>test_st_reranker.py</t>
  </si>
  <si>
    <t>test_is_a_reranker_with_model_name</t>
  </si>
  <si>
    <t>test_loads_model_with_device_max_length_and_raw_logits</t>
  </si>
  <si>
    <t>test_st_reranker_uses_predict_pairs_and_keeps_scores</t>
  </si>
  <si>
    <t>test_empty_candidates_skip_the_model</t>
  </si>
  <si>
    <t>test_auto_device_is_resolved</t>
  </si>
  <si>
    <t>test_transformers_llm.py</t>
  </si>
  <si>
    <t>test_satisfies_the_llm_port</t>
  </si>
  <si>
    <t>test_plain_generation_uses_chat_template_without_thinking_and_greedy_decoding</t>
  </si>
  <si>
    <t>test_positive_temperature_samples</t>
  </si>
  <si>
    <t>test_think_flag_reaches_the_chat_template</t>
  </si>
  <si>
    <t>test_schema_goes_into_the_system_prompt_and_the_json_object_is_returned</t>
  </si>
  <si>
    <t>test_think_block_is_removed</t>
  </si>
  <si>
    <t>test_reply_cut_at_the_token_limit_is_an_error</t>
  </si>
  <si>
    <t>test_reply_ending_with_eos_at_the_limit_is_complete</t>
  </si>
  <si>
    <t>test_empty_reply_is_an_error</t>
  </si>
  <si>
    <t>test_generation_failure_becomes_llm_error</t>
  </si>
  <si>
    <t>test_invalid_dtype_is_rejected</t>
  </si>
  <si>
    <t>``llm.model`` is the Hub id; device, dtype and token limit come from ``llm.transformers``.</t>
  </si>
  <si>
    <t>tests/unit/chunking</t>
  </si>
  <si>
    <t>test_cache.py</t>
  </si>
  <si>
    <t>test_roundtrip</t>
  </si>
  <si>
    <t>test_miss_when_settings_differ</t>
  </si>
  <si>
    <t>test_miss_when_parsed_document_changed_with_same_file</t>
  </si>
  <si>
    <t>test_miss_when_file_is_corrupt</t>
  </si>
  <si>
    <t>test_chunk_documents_uses_cache</t>
  </si>
  <si>
    <t>test_chunk_documents_without_cache</t>
  </si>
  <si>
    <t>test_chunker_key_variants[structural-True-structural_ctx]</t>
  </si>
  <si>
    <t>test_chunker_key_variants[structural-False-structural]</t>
  </si>
  <si>
    <t>test_chunker_key_variants[fixed-True-fixed_ctx]</t>
  </si>
  <si>
    <t>test_chunker_key_variants[fixed-False-fixed]</t>
  </si>
  <si>
    <t>test_chunk_settings_change_with_parameters</t>
  </si>
  <si>
    <t>test_failed_write_keeps_previous_entry</t>
  </si>
  <si>
    <t>test_context_header.py</t>
  </si>
  <si>
    <t>test_header_has_title_program_and_section_label</t>
  </si>
  <si>
    <t>test_header_without_program_or_label</t>
  </si>
  <si>
    <t>test_embed_text_is_header_line_then_text</t>
  </si>
  <si>
    <t>test_embed_text_for_switches_on_flag</t>
  </si>
  <si>
    <t>test_fixed.py</t>
  </si>
  <si>
    <t>test_is_a_chunker</t>
  </si>
  <si>
    <t>test_windows_respect_size_and_overlap</t>
  </si>
  <si>
    <t>test_no_window_that_only_repeats_the_overlap</t>
  </si>
  <si>
    <t>test_short_text_single_chunk</t>
  </si>
  <si>
    <t>test_empty_document_has_no_chunks</t>
  </si>
  <si>
    <t>test_repealed_sections_excluded</t>
  </si>
  <si>
    <t>test_page_and_hierarchy_tracked</t>
  </si>
  <si>
    <t>test_section_headings_are_part_of_the_text</t>
  </si>
  <si>
    <t>test_heading_sections_fill_bolum</t>
  </si>
  <si>
    <t>test_chunk_fields_filled</t>
  </si>
  <si>
    <t>test_context_header_prefixes_embed_text_only</t>
  </si>
  <si>
    <t>test_rejects_overlap_not_smaller_than_size</t>
  </si>
  <si>
    <t>test_rejects_non_positive_size</t>
  </si>
  <si>
    <t>test_ids.py</t>
  </si>
  <si>
    <t>test_chunk_id_is_16_hex</t>
  </si>
  <si>
    <t>test_chunk_ids_unique_across_docs_with_same_text</t>
  </si>
  <si>
    <t>test_base_fields_match_spec_schema</t>
  </si>
  <si>
    <t>test_base_fields_without_version_date</t>
  </si>
  <si>
    <t>test_article_name_variants</t>
  </si>
  <si>
    <t>test_hierarchy_label_formats</t>
  </si>
  <si>
    <t>test_section_bolum_is_title_except_for_articles</t>
  </si>
  <si>
    <t>test_structural.py</t>
  </si>
  <si>
    <t>test_render_paragraph_keeps_label</t>
  </si>
  <si>
    <t>test_pack_paragraphs_is_greedy_and_ordered</t>
  </si>
  <si>
    <t>test_pack_paragraphs_counts_the_separator_tokens</t>
  </si>
  <si>
    <t>test_split_chunks_stay_within_the_limit_with_separators</t>
  </si>
  <si>
    <t>test_pack_paragraphs_empty</t>
  </si>
  <si>
    <t>test_each_article_is_one_chunk</t>
  </si>
  <si>
    <t>test_long_article_split_at_paragraph_boundaries</t>
  </si>
  <si>
    <t>test_split_part_starting_with_a_bent_is_labelled_with_its_fikra</t>
  </si>
  <si>
    <t>test_oversized_single_paragraph_kept_whole</t>
  </si>
  <si>
    <t>test_long_article_with_one_paragraph_is_one_chunk</t>
  </si>
  <si>
    <t>test_faq_pair_single_chunk</t>
  </si>
  <si>
    <t>test_html_sections_separate_chunks</t>
  </si>
  <si>
    <t>test_long_heading_or_table_section_packed_by_paragraphs[bolum]</t>
  </si>
  <si>
    <t>test_long_heading_or_table_section_packed_by_paragraphs[tablo]</t>
  </si>
  <si>
    <t>test_guide_paragraphs_packed</t>
  </si>
  <si>
    <t>test_paragraph_runs_do_not_cross_headings</t>
  </si>
  <si>
    <t>test_repealed_skipped</t>
  </si>
  <si>
    <t>test_metadata_traceability</t>
  </si>
  <si>
    <t>test_amendment_notes_in_metadata_not_text</t>
  </si>
  <si>
    <t>test_embed_text_starts_with_doc_and_hierarchy</t>
  </si>
  <si>
    <t>test_text_unchanged_when_header_on</t>
  </si>
  <si>
    <t>test_header_off_embed_equals_text</t>
  </si>
  <si>
    <t>test_same_title_different_program_yields_different_embed_text</t>
  </si>
  <si>
    <t>test_split_article_without_fikras_has_no_bent_suffix</t>
  </si>
  <si>
    <t>test_split_parts_keep_the_section_separator_verbatim</t>
  </si>
  <si>
    <t>test_unknown_section_separator_falls_back_to_kind</t>
  </si>
  <si>
    <t>test_tokens.py</t>
  </si>
  <si>
    <t>test_regex_counter_counts_words_and_punct</t>
  </si>
  <si>
    <t>test_regex_counter_round_trips_tokens</t>
  </si>
  <si>
    <t>test_regex_counter_satisfies_port_and_is_the_test_fake</t>
  </si>
  <si>
    <t>tests/unit/domain</t>
  </si>
  <si>
    <t>test_answer.py</t>
  </si>
  <si>
    <t>test_answer_parses_status_enum</t>
  </si>
  <si>
    <t>test_answer_rejects_unknown_status</t>
  </si>
  <si>
    <t>test_answer_json_uses_turkish_field_names</t>
  </si>
  <si>
    <t>test_base.py</t>
  </si>
  <si>
    <t>test_domain_models_are_frozen</t>
  </si>
  <si>
    <t>test_frozen_domain_models_are_hashable_values</t>
  </si>
  <si>
    <t>test_chunk.py</t>
  </si>
  <si>
    <t>test_chunk_schema_has_spec_fields</t>
  </si>
  <si>
    <t>test_chunk_round_trips_json</t>
  </si>
  <si>
    <t>test_chunk_amendment_notes_default_is_not_shared</t>
  </si>
  <si>
    <t>test_document.py</t>
  </si>
  <si>
    <t>test_document_full_text_joins_sections</t>
  </si>
  <si>
    <t>test_document_full_text_empty_when_no_sections</t>
  </si>
  <si>
    <t>test_document_round_trips_json</t>
  </si>
  <si>
    <t>test_enums.py</t>
  </si>
  <si>
    <t>test_enums_are_str_enums[SourceKind]</t>
  </si>
  <si>
    <t>test_enums_are_str_enums[DocType]</t>
  </si>
  <si>
    <t>test_enums_are_str_enums[SectionKind]</t>
  </si>
  <si>
    <t>test_enums_are_str_enums[QuestionType]</t>
  </si>
  <si>
    <t>test_enums_are_str_enums[AnswerStatus]</t>
  </si>
  <si>
    <t>test_enum_values_match_spec</t>
  </si>
  <si>
    <t>test_str_enum_compares_to_plain_string</t>
  </si>
  <si>
    <t>test_evaluation.py</t>
  </si>
  <si>
    <t>test_test_question_parses_example_row</t>
  </si>
  <si>
    <t>test_test_question_rejects_unknown_type</t>
  </si>
  <si>
    <t>test_test_question_rejects_unknown_difficulty</t>
  </si>
  <si>
    <t>test_test_question_defaults</t>
  </si>
  <si>
    <t>test_question_result_round_trips</t>
  </si>
  <si>
    <t>test_run_metrics_allows_missing_reranker</t>
  </si>
  <si>
    <t>test_reports.py</t>
  </si>
  <si>
    <t>test_comparison_row_allows_missing_previous_run</t>
  </si>
  <si>
    <t>test_comparison_row_round_trips</t>
  </si>
  <si>
    <t>test_retrieval.py</t>
  </si>
  <si>
    <t>test_metadata_filter_defaults_to_no_constraints</t>
  </si>
  <si>
    <t>test_scored_chunk_keeps_component_scores</t>
  </si>
  <si>
    <t>test_source.py</t>
  </si>
  <si>
    <t>test_source_entry_parses_enums_and_date</t>
  </si>
  <si>
    <t>test_source_entry_rejects_unknown_kind</t>
  </si>
  <si>
    <t>test_source_entry_is_frozen</t>
  </si>
  <si>
    <t>tests/unit/evaluation</t>
  </si>
  <si>
    <t>test_calibration.py</t>
  </si>
  <si>
    <t>test_calibrate_rates_on_synthetic_scores</t>
  </si>
  <si>
    <t>test_calibrate_ignores_other_keys_and_ungated_questions</t>
  </si>
  <si>
    <t>test_suggest_respects_false_rejection_cap</t>
  </si>
  <si>
    <t>test_grid_ranges</t>
  </si>
  <si>
    <t>test_calibration_key_is_most_frequent_threshold_key</t>
  </si>
  <si>
    <t>test_no_results_rows_count_as_rejected_at_every_threshold</t>
  </si>
  <si>
    <t>test_judge.py</t>
  </si>
  <si>
    <t>test_judge_parses_verdict</t>
  </si>
  <si>
    <t>test_judge_error_yields_none[bu bir JSON de\u011fil]</t>
  </si>
  <si>
    <t>test_judge_error_yields_none[{"dogru": "belki"}]</t>
  </si>
  <si>
    <t>test_judge_llm_failure_yields_none</t>
  </si>
  <si>
    <t>test_judge_prompt_contains_expected_and_generated</t>
  </si>
  <si>
    <t>test_numbers_present_ignores_percent_and_separators</t>
  </si>
  <si>
    <t>test_citation_precision</t>
  </si>
  <si>
    <t>test_programs_split</t>
  </si>
  <si>
    <t>test_matching.py</t>
  </si>
  <si>
    <t>test_quote_matches_across_whitespace_and_case</t>
  </si>
  <si>
    <t>test_quote_split_across_two_chunks_is_miss</t>
  </si>
  <si>
    <t>test_hits_require_same_doc</t>
  </si>
  <si>
    <t>test_each_quote_gets_its_own_rank</t>
  </si>
  <si>
    <t>test_first_hit_rank</t>
  </si>
  <si>
    <t>test_doc_hit_k</t>
  </si>
  <si>
    <t>test_metrics.py</t>
  </si>
  <si>
    <t>test_recall_at_k_partial</t>
  </si>
  <si>
    <t>test_mrr</t>
  </si>
  <si>
    <t>test_mean_ignoring_nan</t>
  </si>
  <si>
    <t>test_unanswerable_excluded</t>
  </si>
  <si>
    <t>test_keys_present</t>
  </si>
  <si>
    <t>test_metrics_without_data_are_omitted_not_nan</t>
  </si>
  <si>
    <t>test_generation_metric_keys</t>
  </si>
  <si>
    <t>test_answer_accuracy_counts_refusals_as_wrong_and_numbers_rule</t>
  </si>
  <si>
    <t>test_false_rejection</t>
  </si>
  <si>
    <t>test_correct_rejection</t>
  </si>
  <si>
    <t>test_number_guardrail_rates_over_questions_that_reached_the_llm</t>
  </si>
  <si>
    <t>test_refusal_counts</t>
  </si>
  <si>
    <t>test_latency_percentiles</t>
  </si>
  <si>
    <t>test_by_type_groups</t>
  </si>
  <si>
    <t>test_by_verified</t>
  </si>
  <si>
    <t>test_llm_error_is_an_error_not_a_refusal</t>
  </si>
  <si>
    <t>test_citation_repair_rate_only_when_reported</t>
  </si>
  <si>
    <t>test_scope_false_positive_is_not_a_retrieval_miss</t>
  </si>
  <si>
    <t>test_llm_error_did_not_reach_generation</t>
  </si>
  <si>
    <t>test_without_judge_accuracy_is_the_number_rule</t>
  </si>
  <si>
    <t>test_run_counts_judge_errors</t>
  </si>
  <si>
    <t>test_recompute_rebuilds_aggregates_from_rows</t>
  </si>
  <si>
    <t>test_runner.py</t>
  </si>
  <si>
    <t>test_make_run_id_and_run_membership</t>
  </si>
  <si>
    <t>test_run_writes_three_files_and_report_path</t>
  </si>
  <si>
    <t>test_per_question_rows_valid_schema</t>
  </si>
  <si>
    <t>test_refusal_reasons_recorded</t>
  </si>
  <si>
    <t>test_metrics_json_fields</t>
  </si>
  <si>
    <t>test_limit</t>
  </si>
  <si>
    <t>test_same_inputs_same_retrieval_metrics</t>
  </si>
  <si>
    <t>test_ingest_callback_called_once</t>
  </si>
  <si>
    <t>test_counts_from_last_ingest_report_of_same_collection</t>
  </si>
  <si>
    <t>test_judge_called_only_for_answered_answerable</t>
  </si>
  <si>
    <t>test_ranked_results_puts_reranked_first_then_rest_of_pool</t>
  </si>
  <si>
    <t>test_progress_events_count_every_question</t>
  </si>
  <si>
    <t>test_resume_skips_done_questions_and_keeps_rows</t>
  </si>
  <si>
    <t>test_resume_drops_a_truncated_last_line</t>
  </si>
  <si>
    <t>test_resume_refuses_a_changed_config_or_missing_run</t>
  </si>
  <si>
    <t>test_citation_repairs_recorded_when_the_verdict_reports_them</t>
  </si>
  <si>
    <t>test_question_error_is_recorded_and_run_continues</t>
  </si>
  <si>
    <t>test_testset.py</t>
  </si>
  <si>
    <t>test_load_valid_jsonl</t>
  </si>
  <si>
    <t>test_load_skips_blank_lines</t>
  </si>
  <si>
    <t>test_invalid_line_reports_line_number</t>
  </si>
  <si>
    <t>test_broken_json_reports_line_number</t>
  </si>
  <si>
    <t>test_normalize_for_match_case_and_whitespace</t>
  </si>
  <si>
    <t>test_normalize_for_match_punctuation_and_hyphenation</t>
  </si>
  <si>
    <t>test_normalize_for_match_joins_upper_case_hyphenation</t>
  </si>
  <si>
    <t>test_normalize_for_match_keeps_documented_non_equivalences</t>
  </si>
  <si>
    <t>test_valid_question_passes</t>
  </si>
  <si>
    <t>test_validate_requires_quotes_for_answerable</t>
  </si>
  <si>
    <t>test_validate_limits_quote_count</t>
  </si>
  <si>
    <t>test_validate_rejects_quotes_for_unanswerable</t>
  </si>
  <si>
    <t>test_validate_unanswerable_expected_answer_text</t>
  </si>
  <si>
    <t>test_validate_duplicate_ids</t>
  </si>
  <si>
    <t>test_validate_quote_doc_must_be_expected</t>
  </si>
  <si>
    <t>test_validate_multi_doc_types_need_two_documents</t>
  </si>
  <si>
    <t>test_validate_expected_numbers_appear_in_answer</t>
  </si>
  <si>
    <t>test_validate_expected_number_needs_number_boundaries</t>
  </si>
  <si>
    <t>test_contains_number_is_boundary_aware[2-ayl\u0131k %2 oran\u0131-True]</t>
  </si>
  <si>
    <t>test_contains_number_is_boundary_aware[2-en fazla 24 ay-False]</t>
  </si>
  <si>
    <t>test_contains_number_is_boundary_aware[30-en fazla 30.-True]</t>
  </si>
  <si>
    <t>test_contains_number_is_boundary_aware[75-oran %75'tir-True]</t>
  </si>
  <si>
    <t>test_contains_number_is_boundary_aware[1.350.000-1.350.000 TL yat\u0131r\u0131m-True]</t>
  </si>
  <si>
    <t>test_contains_number_is_boundary_aware[350-1.350.000 TL-False]</t>
  </si>
  <si>
    <t>test_contains_number_is_boundary_aware[12-1,12 kat\u0131-False]</t>
  </si>
  <si>
    <t>test_contains_number_is_boundary_aware[be\u015f-ilk be\u015f projesi-True]</t>
  </si>
  <si>
    <t>test_validate_checks_quote_in_document_text</t>
  </si>
  <si>
    <t>test_validate_quote_matches_across_line_breaks</t>
  </si>
  <si>
    <t>test_validate_unknown_document</t>
  </si>
  <si>
    <t>test_type_distribution</t>
  </si>
  <si>
    <t>test_write_review_queue_groups_and_batches</t>
  </si>
  <si>
    <t>test_review_queue_marks_unlocated_quote</t>
  </si>
  <si>
    <t>test_review_queue_falls_back_to_file_name_for_blank_title</t>
  </si>
  <si>
    <t>test_review_queue_starts_new_batch_at_each_type</t>
  </si>
  <si>
    <t>test_locate_quote_reports_quote_spanning_sections</t>
  </si>
  <si>
    <t>test_locate_quote_names_faq_question</t>
  </si>
  <si>
    <t>test_quote_warnings_flags_very_short_quotes</t>
  </si>
  <si>
    <t>test_verify_testset_reads_file_and_checks_corpus</t>
  </si>
  <si>
    <t>test_repo_testset_is_valid_and_distributed</t>
  </si>
  <si>
    <t>tests/unit/generation</t>
  </si>
  <si>
    <t>test_generator.py</t>
  </si>
  <si>
    <t>test_generate_passes_schema_and_temperature_to_llm</t>
  </si>
  <si>
    <t>test_generate_parses_output</t>
  </si>
  <si>
    <t>test_sources_returned_in_prompt_order</t>
  </si>
  <si>
    <t>test_invalid_output_recorded_as_error</t>
  </si>
  <si>
    <t>test_citations_have_title_location_url</t>
  </si>
  <si>
    <t>test_citations_include_inline_markers_missing_from_atiflar</t>
  </si>
  <si>
    <t>test_citations_ignore_numbers_outside_sources</t>
  </si>
  <si>
    <t>test_source_views_numbered_like_prompt</t>
  </si>
  <si>
    <t>test_prompts.py</t>
  </si>
  <si>
    <t>test_sources_numbered_from_one</t>
  </si>
  <si>
    <t>test_source_header_includes_program_and_version</t>
  </si>
  <si>
    <t>test_source_header_marks_general_and_unknown_version</t>
  </si>
  <si>
    <t>test_newer_version_listed_first_same_type_program</t>
  </si>
  <si>
    <t>test_header_skips_empty_location</t>
  </si>
  <si>
    <t>test_order_keeps_rank_when_versions_equal_or_groups_differ</t>
  </si>
  <si>
    <t>test_order_puts_unknown_version_after_dated</t>
  </si>
  <si>
    <t>test_system_prompt_contains_rules</t>
  </si>
  <si>
    <t>test_system_prompt_treats_sources_as_data_not_instructions</t>
  </si>
  <si>
    <t>test_user_prompt_contains_question_and_sources</t>
  </si>
  <si>
    <t>test_user_prompt_delimits_data_and_question</t>
  </si>
  <si>
    <t>test_faq_question_text_stays_inside_source_tags</t>
  </si>
  <si>
    <t>test_fixed_messages_are_turkish</t>
  </si>
  <si>
    <t>test_citation_location_for_article_and_paragraph</t>
  </si>
  <si>
    <t>test_citation_location_for_faq_section_and_page</t>
  </si>
  <si>
    <t>test_schema.py</t>
  </si>
  <si>
    <t>test_parses_plain_json</t>
  </si>
  <si>
    <t>test_strips_code_fence_and_think_block</t>
  </si>
  <si>
    <t>test_extracts_object_from_surrounding_prose</t>
  </si>
  <si>
    <t>test_invalid_raises[]</t>
  </si>
  <si>
    <t>test_invalid_raises[Bilmiyorum.]</t>
  </si>
  <si>
    <t>test_invalid_raises[{"cevaplanabilir": true, "cevap": "x"}]</t>
  </si>
  <si>
    <t>test_invalid_raises[{"cevaplanabilir": true, "cevap": "x", "atiflar": [1], "fazla": 1}]</t>
  </si>
  <si>
    <t>test_invalid_raises[{"cevaplanabilir": true, "cevap": "x", "atiflar": [1]]</t>
  </si>
  <si>
    <t>test_schema_has_required_fields</t>
  </si>
  <si>
    <t>test_cited_numbers_reads_lists_and_atiflar</t>
  </si>
  <si>
    <t>test_cite_re_ignores_long_bracketed_numbers</t>
  </si>
  <si>
    <t>tests/unit/guardrails</t>
  </si>
  <si>
    <t>test_citations.py</t>
  </si>
  <si>
    <t>test_answerable_without_citations_rejected</t>
  </si>
  <si>
    <t>test_out_of_range_citation_rejected</t>
  </si>
  <si>
    <t>test_zero_citation_rejected</t>
  </si>
  <si>
    <t>test_inline_bracket_out_of_range_rejected</t>
  </si>
  <si>
    <t>test_inline_bracket_list_out_of_range_rejected</t>
  </si>
  <si>
    <t>test_not_answerable_without_citations_ok</t>
  </si>
  <si>
    <t>test_valid_passes</t>
  </si>
  <si>
    <t>test_no_sources_rejects_any_answer</t>
  </si>
  <si>
    <t>test_bracketed_year_is_not_a_citation</t>
  </si>
  <si>
    <t>test_gate.py</t>
  </si>
  <si>
    <t>test_uses_rerank_key_when_present</t>
  </si>
  <si>
    <t>test_falls_back_to_dense</t>
  </si>
  <si>
    <t>test_falls_back_to_bm25</t>
  </si>
  <si>
    <t>test_below_threshold_fails</t>
  </si>
  <si>
    <t>test_score_equal_to_threshold_passes</t>
  </si>
  <si>
    <t>test_gate_empty_results_fails</t>
  </si>
  <si>
    <t>test_results_without_known_score_fail</t>
  </si>
  <si>
    <t>test_thresholds_from_config_not_constants</t>
  </si>
  <si>
    <t>test_missing_threshold_key_rejected_at_construction</t>
  </si>
  <si>
    <t>test_numbers.py</t>
  </si>
  <si>
    <t>test_fabricated_duration_sentence_is_stripped</t>
  </si>
  <si>
    <t>test_whole_answer_ungrounded_is_rejected</t>
  </si>
  <si>
    <t>test_equivalent_number_spellings_are_grounded[Oran y\xfczde 75'tir [1].-Destek oran\u0131 en fazla %75'tir.]</t>
  </si>
  <si>
    <t>test_equivalent_number_spellings_are_grounded[Oran %75'tir [1].-Destek oran\u0131 en fazla y\xfczde 75'tir.]</t>
  </si>
  <si>
    <t>test_equivalent_number_spellings_are_grounded[Oran 75% olarak uygulan\u0131r [1].-Destek oran\u0131 %75'tir.]</t>
  </si>
  <si>
    <t>test_equivalent_number_spellings_are_grounded[B\xfct\xe7e 3,5 milyon TL'dir [1].-B\xfct\xe7e 3.500.000 TL ile s\u0131n\u0131rl\u0131d\u0131r.]</t>
  </si>
  <si>
    <t>test_equivalent_number_spellings_are_grounded[\xd6n \xf6deme 250 bin TL'dir [1].-\xd6n \xf6deme 250.000 TL'dir.]</t>
  </si>
  <si>
    <t>test_equivalent_number_spellings_are_grounded[S\xfcre 18 ayd\u0131r [1].-Proje s\xfcresi en fazla on sekiz ayd\u0131r.]</t>
  </si>
  <si>
    <t>test_equivalent_number_spellings_are_grounded[S\xfcre on sekiz ayd\u0131r [1].-Proje s\xfcresi en fazla 18 ayd\u0131r.]</t>
  </si>
  <si>
    <t>test_equivalent_number_spellings_are_grounded[\xd6n \xf6deme iki y\xfcz elli bin TL'dir [1].-\xd6n \xf6deme 250.000 TL'dir.]</t>
  </si>
  <si>
    <t>test_unspelled_amount_not_in_sources_is_stripped</t>
  </si>
  <si>
    <t>test_article_number_grounded_by_madde_no</t>
  </si>
  <si>
    <t>test_program_code_grounded_by_question_or_title</t>
  </si>
  <si>
    <t>test_date_grounded_by_version_header[25.09.2026]</t>
  </si>
  <si>
    <t>test_date_grounded_by_version_header[25/09/2026]</t>
  </si>
  <si>
    <t>test_date_grounded_by_version_header[2026-09-25]</t>
  </si>
  <si>
    <t>test_date_grounded_by_version_header[25 Eyl\xfcl 2026]</t>
  </si>
  <si>
    <t>test_year_of_a_dated_source_is_grounded</t>
  </si>
  <si>
    <t>test_list_markers_are_ignored</t>
  </si>
  <si>
    <t>test_citation_markers_are_ignored</t>
  </si>
  <si>
    <t>test_urls_are_ignored</t>
  </si>
  <si>
    <t>test_bare_bir_is_not_a_number</t>
  </si>
  <si>
    <t>test_decimal_is_not_the_integer</t>
  </si>
  <si>
    <t>test_number_is_not_grounded_by_a_substring</t>
  </si>
  <si>
    <t>test_range_flags_both_ends</t>
  </si>
  <si>
    <t>test_not_answerable_output_is_untouched</t>
  </si>
  <si>
    <t>test_off_mode_is_identity</t>
  </si>
  <si>
    <t>test_reject_mode_rejects_any_ungrounded_number</t>
  </si>
  <si>
    <t>test_existing_missing_part_is_kept</t>
  </si>
  <si>
    <t>test_extract_numbers_canonicalises</t>
  </si>
  <si>
    <t>test_answer_side_number_words_need_a_unit</t>
  </si>
  <si>
    <t>test_suffix_on_the_last_number_word_keeps_the_whole_number[y\xfczde doksan be\u015fi]</t>
  </si>
  <si>
    <t>test_suffix_on_the_last_number_word_keeps_the_whole_number[y\xfczde doksan be\u015ftir]</t>
  </si>
  <si>
    <t>test_suffix_on_the_last_number_word_keeps_the_whole_number[y\xfczde doksan be\u015fine]</t>
  </si>
  <si>
    <t>test_suffix_on_the_last_number_word_keeps_the_whole_number[y\xfczde doksan be\u015finde]</t>
  </si>
  <si>
    <t>test_percent_word_and_unrelated_words_are_not_number_words</t>
  </si>
  <si>
    <t>test_suffixed_number_word_quantity_keeps_its_unit</t>
  </si>
  <si>
    <t>test_softened_dort_before_a_suffix</t>
  </si>
  <si>
    <t>test_grounding_tokens_use_question_and_cited_metadata</t>
  </si>
  <si>
    <t>test_number_in_uncited_prompt_source_repairs_the_citation</t>
  </si>
  <si>
    <t>test_repair_picks_the_smallest_source_number</t>
  </si>
  <si>
    <t>test_reject_mode_repairs_instead_of_rejecting</t>
  </si>
  <si>
    <t>test_fabricated_number_is_still_stripped_when_sources_are_given</t>
  </si>
  <si>
    <t>test_repaired_and_fabricated_numbers_in_one_answer</t>
  </si>
  <si>
    <t>test_repair_is_dropped_with_the_stripped_sentence</t>
  </si>
  <si>
    <t>test_reject_mode_rejects_when_a_number_is_in_no_prompt_source</t>
  </si>
  <si>
    <t>test_off_mode_does_not_repair</t>
  </si>
  <si>
    <t>test_without_prompt_sources_there_is_no_repair</t>
  </si>
  <si>
    <t>test_inline_markers_and_atiflar_cannot_diverge_after_repair</t>
  </si>
  <si>
    <t>test_repair_marker_is_inserted_when_the_sentence_has_none</t>
  </si>
  <si>
    <t>test_repair_ignores_metadata_and_needs_the_same_unit[Destek s\xfcresi en fazla 3 y\u0131ld\u0131r [1].-other0-strip]</t>
  </si>
  <si>
    <t>test_repair_ignores_metadata_and_needs_the_same_unit[Destek s\xfcresi en fazla 3 y\u0131ld\u0131r [1].-other0-reject]</t>
  </si>
  <si>
    <t>test_repair_ignores_metadata_and_needs_the_same_unit[Program 2026 y\u0131l\u0131nda ba\u015flad\u0131 [1].-other1-strip]</t>
  </si>
  <si>
    <t>test_repair_ignores_metadata_and_needs_the_same_unit[Program 2026 y\u0131l\u0131nda ba\u015flad\u0131 [1].-other1-reject]</t>
  </si>
  <si>
    <t>test_repair_ignores_metadata_and_needs_the_same_unit[Proje s\xfcresi en fazla 15 ayd\u0131r [1].-other2-strip]</t>
  </si>
  <si>
    <t>test_repair_ignores_metadata_and_needs_the_same_unit[Proje s\xfcresi en fazla 15 ayd\u0131r [1].-other2-reject]</t>
  </si>
  <si>
    <t>test_repair_needs_a_unit_in_the_answer</t>
  </si>
  <si>
    <t>test_strip_keeps_answers_that_cite_only_through_atiflar</t>
  </si>
  <si>
    <t>test_extract_quantities_pairs_numbers_with_units</t>
  </si>
  <si>
    <t>test_outline_numbers_do_not_crash_and_match_consistently</t>
  </si>
  <si>
    <t>test_postprocess.py</t>
  </si>
  <si>
    <t>test_announcement_link_added_when_source_defers_to_call</t>
  </si>
  <si>
    <t>test_announcement_phrases_are_recognised[\xc7a\u011fr\u0131 Duyurusunda Belirtilir]</t>
  </si>
  <si>
    <t>test_announcement_phrases_are_recognised[\xe7a\u011fr\u0131 duyurular\u0131nda yer al\u0131r]</t>
  </si>
  <si>
    <t>test_announcement_phrases_are_recognised[\xe7a\u011fr\u0131 metninde a\xe7\u0131klan\u0131r]</t>
  </si>
  <si>
    <t>test_announcement_phrases_are_recognised[\xe7a\u011fr\u0131 dok\xfcman\u0131nda belirtilen]</t>
  </si>
  <si>
    <t>test_prefers_program_page_url</t>
  </si>
  <si>
    <t>test_no_link_when_not_deferred</t>
  </si>
  <si>
    <t>test_no_link_when_url_already_in_text</t>
  </si>
  <si>
    <t>test_missing_part_appended</t>
  </si>
  <si>
    <t>test_no_missing_part_leaves_text[None]</t>
  </si>
  <si>
    <t>test_no_missing_part_leaves_text[]</t>
  </si>
  <si>
    <t>test_no_missing_part_leaves_text[   ]</t>
  </si>
  <si>
    <t>test_question_grounding_security.py</t>
  </si>
  <si>
    <t>test_question_quantity_cannot_ground_an_unsupported_claim[percentage-strip]</t>
  </si>
  <si>
    <t>Open issue: grounding_tokens accepts unsupported quantities from the question</t>
  </si>
  <si>
    <t>test_question_quantity_cannot_ground_an_unsupported_claim[percentage-reject]</t>
  </si>
  <si>
    <t>test_question_quantity_cannot_ground_an_unsupported_claim[percentage-in-words-strip]</t>
  </si>
  <si>
    <t>test_question_quantity_cannot_ground_an_unsupported_claim[percentage-in-words-reject]</t>
  </si>
  <si>
    <t>test_question_quantity_cannot_ground_an_unsupported_claim[amount-strip]</t>
  </si>
  <si>
    <t>test_question_quantity_cannot_ground_an_unsupported_claim[amount-reject]</t>
  </si>
  <si>
    <t>test_question_quantity_cannot_ground_an_unsupported_claim[duration-strip]</t>
  </si>
  <si>
    <t>test_question_quantity_cannot_ground_an_unsupported_claim[duration-reject]</t>
  </si>
  <si>
    <t>test_question_quantity_cannot_ground_an_unsupported_claim[deadline-strip]</t>
  </si>
  <si>
    <t>test_question_quantity_cannot_ground_an_unsupported_claim[deadline-reject]</t>
  </si>
  <si>
    <t>test_question_with_a_false_premise_can_receive_a_source_supported_answer[percentage-strip]</t>
  </si>
  <si>
    <t>test_question_with_a_false_premise_can_receive_a_source_supported_answer[percentage-reject]</t>
  </si>
  <si>
    <t>test_question_with_a_false_premise_can_receive_a_source_supported_answer[percentage-in-words-strip]</t>
  </si>
  <si>
    <t>test_question_with_a_false_premise_can_receive_a_source_supported_answer[percentage-in-words-reject]</t>
  </si>
  <si>
    <t>test_question_with_a_false_premise_can_receive_a_source_supported_answer[amount-strip]</t>
  </si>
  <si>
    <t>test_question_with_a_false_premise_can_receive_a_source_supported_answer[amount-reject]</t>
  </si>
  <si>
    <t>test_question_with_a_false_premise_can_receive_a_source_supported_answer[duration-strip]</t>
  </si>
  <si>
    <t>test_question_with_a_false_premise_can_receive_a_source_supported_answer[duration-reject]</t>
  </si>
  <si>
    <t>test_question_with_a_false_premise_can_receive_a_source_supported_answer[deadline-strip]</t>
  </si>
  <si>
    <t>test_question_with_a_false_premise_can_receive_a_source_supported_answer[deadline-reject]</t>
  </si>
  <si>
    <t>test_suggested_quantity_is_allowed_when_a_source_actually_supports_it[strip]</t>
  </si>
  <si>
    <t>test_suggested_quantity_is_allowed_when_a_source_actually_supports_it[reject]</t>
  </si>
  <si>
    <t>test_pipeline_does_not_publish_a_quantity_supported_only_by_the_question[strip]</t>
  </si>
  <si>
    <t>test_pipeline_does_not_publish_a_quantity_supported_only_by_the_question[reject]</t>
  </si>
  <si>
    <t>test_scope.py</t>
  </si>
  <si>
    <t>test_lexicon_accepts_program_code_question[1507'de destek oran\u0131 nedir?]</t>
  </si>
  <si>
    <t>test_lexicon_accepts_program_code_question[T\xdcB\u0130TAK projelerinde personel gideri desteklenir mi?]</t>
  </si>
  <si>
    <t>test_lexicon_accepts_program_code_question[Teknoloji geli\u015ftirme b\xf6lgesinde \xe7al\u0131\u015fan personelin gelir vergisi istisnas\u0131 var m\u0131?]</t>
  </si>
  <si>
    <t>test_lexicon_accepts_program_code_question[ARGE merkezi kurmak i\xe7in ka\xe7 personel gerekir?]</t>
  </si>
  <si>
    <t>test_lexicon_accepts_program_code_question[Bursiyer \xf6demeleri nas\u0131l yap\u0131l\u0131r?]</t>
  </si>
  <si>
    <t>test_lexicon_accepts_program_code_question[Yaz\u0131l\u0131m firmas\u0131 gelir vergisi stopaj\u0131 istisnas\u0131ndan nas\u0131l yararlan\u0131r?]</t>
  </si>
  <si>
    <t>test_lexicon_accepts_program_code_question[Doktora bursu ayl\u0131k ne kadar?]</t>
  </si>
  <si>
    <t>test_lexicon_accepts_program_code_question[Patent ve faydal\u0131 model masraflar\u0131 kar\u015f\u0131lan\u0131r m\u0131?]</t>
  </si>
  <si>
    <t>test_lexicon_accepts_program_code_question[Personel gideri hesab\u0131nda SGK i\u015fveren pay\u0131 dahil mi?]</t>
  </si>
  <si>
    <t>test_lexicon_accepts_program_code_question[Transfer \xf6demesi \xf6n \xf6deme oran\u0131 ka\xe7t\u0131r?]</t>
  </si>
  <si>
    <t>test_lexicon_accepts_program_code_question[Yeminli mali m\xfc\u015favir raporu ne zaman verilir?]</t>
  </si>
  <si>
    <t>test_lexicon_accepts_program_code_question[Mentor deste\u011fi \xfccretsiz mi?]</t>
  </si>
  <si>
    <t>test_lexicon_accepts_program_code_question[YMM raporu zorunlu mu?]</t>
  </si>
  <si>
    <t>test_lexicon_accepts_program_code_question[Proje b\xfct\xe7esindeki harcama kalemleri nelerdir?]</t>
  </si>
  <si>
    <t>test_lexicon_rejects_weather_question_in_lexicon_mode[\u0130stanbul'da hava nas\u0131l?]</t>
  </si>
  <si>
    <t>test_lexicon_rejects_weather_question_in_lexicon_mode[Bursa'da hava nas\u0131l?]</t>
  </si>
  <si>
    <t>test_lexicon_rejects_weather_question_in_lexicon_mode[En iyi kek tarifi hangisi?]</t>
  </si>
  <si>
    <t>test_lexicon_rejects_weather_question_in_lexicon_mode[Galatasaray d\xfcn ka\xe7 gol att\u0131?]</t>
  </si>
  <si>
    <t>test_lexicon_rejects_weather_question_in_lexicon_mode[1923'te cumhuriyet nas\u0131l kuruldu?]</t>
  </si>
  <si>
    <t>test_lexicon_rejects_weather_question_in_lexicon_mode[1999 depremi ne zaman oldu?]</t>
  </si>
  <si>
    <t>test_lexicon_rejects_weather_question_in_lexicon_mode[3500 TL maa\u015fla ge\xe7inilir mi?]</t>
  </si>
  <si>
    <t>test_lexicon_rejects_weather_question_in_lexicon_mode[4000 lira kira \xe7ok mu?]</t>
  </si>
  <si>
    <t>test_lexicon_rejects_weather_question_in_lexicon_mode[Projekt\xf6r lambas\u0131 nas\u0131l de\u011fi\u015ftirilir?]</t>
  </si>
  <si>
    <t>test_lexicon_rejects_weather_question_in_lexicon_mode[\xc7a\u011fr\u0131 merkezi numaran\u0131z nedir?]</t>
  </si>
  <si>
    <t>test_lexicon_terms_match_at_word_start_with_suffixes</t>
  </si>
  <si>
    <t>test_years_are_not_program_codes</t>
  </si>
  <si>
    <t>test_both_mode_asks_llm_only_when_lexicon_misses</t>
  </si>
  <si>
    <t>test_llm_mode_always_asks_llm</t>
  </si>
  <si>
    <t>test_llm_failure_fails_open[bozuk]</t>
  </si>
  <si>
    <t>test_llm_failure_fails_open[{"baska": 1}]</t>
  </si>
  <si>
    <t>test_llm_error_fails_open</t>
  </si>
  <si>
    <t>test_off_mode</t>
  </si>
  <si>
    <t>test_llm_modes_require_an_llm</t>
  </si>
  <si>
    <t>tests/unit/indexing</t>
  </si>
  <si>
    <t>test_bm25_index.py</t>
  </si>
  <si>
    <t>test_rebuild_writes_directory</t>
  </si>
  <si>
    <t>test_rebuild_replaces_old_index</t>
  </si>
  <si>
    <t>test_load_returns_the_loaded_index</t>
  </si>
  <si>
    <t>test_cached_embedder.py</t>
  </si>
  <si>
    <t>test_is_an_embedder_with_inner_identity</t>
  </si>
  <si>
    <t>test_second_call_does_not_hit_inner</t>
  </si>
  <si>
    <t>test_cache_persists_across_instances</t>
  </si>
  <si>
    <t>test_partial_miss_only_embeds_missing_in_order</t>
  </si>
  <si>
    <t>test_duplicate_texts_are_embedded_once</t>
  </si>
  <si>
    <t>test_cache_is_per_model</t>
  </si>
  <si>
    <t>test_cache_is_per_dimension</t>
  </si>
  <si>
    <t>test_empty_input_does_not_call_inner</t>
  </si>
  <si>
    <t>test_query_not_cached</t>
  </si>
  <si>
    <t>test_embedding_cache.py</t>
  </si>
  <si>
    <t>test_text_hash_is_sha256_of_utf8</t>
  </si>
  <si>
    <t>test_creates_parent_directory</t>
  </si>
  <si>
    <t>test_cache_roundtrip_float32</t>
  </si>
  <si>
    <t>test_values_survive_reopening</t>
  </si>
  <si>
    <t>test_put_replaces_existing_vector</t>
  </si>
  <si>
    <t>test_lookup_is_per_model</t>
  </si>
  <si>
    <t>test_many_texts_beyond_sql_variable_limit</t>
  </si>
  <si>
    <t>test_empty_inputs</t>
  </si>
  <si>
    <t>test_fingerprint.py</t>
  </si>
  <si>
    <t>test_chunk_digest_is_stable_hex_sha256</t>
  </si>
  <si>
    <t>test_chunk_digest_changes_with_text_or_metadata</t>
  </si>
  <si>
    <t>test_doc_fingerprint_ignores_order</t>
  </si>
  <si>
    <t>test_same_raw_sha_with_changed_chunks_gives_new_fingerprint</t>
  </si>
  <si>
    <t>test_fingerprints_per_document</t>
  </si>
  <si>
    <t>test_naming.py</t>
  </si>
  <si>
    <t>test_collection_name_combines_chunker_and_gemma_model</t>
  </si>
  <si>
    <t>test_collection_name_lowercases_model</t>
  </si>
  <si>
    <t>test_slug_replaces_other_characters_with_underscore</t>
  </si>
  <si>
    <t>test_bm25_dir_is_per_chunker_key</t>
  </si>
  <si>
    <t>test_sync.py</t>
  </si>
  <si>
    <t>test_plan_new_doc_is_add</t>
  </si>
  <si>
    <t>test_plan_changed_sha_is_update</t>
  </si>
  <si>
    <t>test_plan_missing_in_manifest_is_remove</t>
  </si>
  <si>
    <t>test_plan_same_sha_unchanged</t>
  </si>
  <si>
    <t>test_plan_lists_are_sorted</t>
  </si>
  <si>
    <t>test_sync_plan_is_immutable</t>
  </si>
  <si>
    <t>test_apply_ensures_collection_exists</t>
  </si>
  <si>
    <t>test_apply_only_embeds_changed_docs</t>
  </si>
  <si>
    <t>test_second_sync_is_a_noop</t>
  </si>
  <si>
    <t>test_apply_update_replaces_chunks</t>
  </si>
  <si>
    <t>test_same_raw_sha_with_changed_chunks_is_reindexed</t>
  </si>
  <si>
    <t>test_half_written_document_is_reindexed</t>
  </si>
  <si>
    <t>test_apply_remove_deletes</t>
  </si>
  <si>
    <t>test_apply_embeds_in_batches_and_reports_progress</t>
  </si>
  <si>
    <t>test_apply_embeds_embed_text_not_text</t>
  </si>
  <si>
    <t>tests/unit/ingestion</t>
  </si>
  <si>
    <t>test_document_builder.py</t>
  </si>
  <si>
    <t>test_make_section_id</t>
  </si>
  <si>
    <t>test_skeleton_copies_entry_metadata_and_uses_real_sha</t>
  </si>
  <si>
    <t>test_skeleton_keeps_missing_fields_as_none</t>
  </si>
  <si>
    <t>test_join_lines_uses_spaces_and_keeps_line_end_hyphens</t>
  </si>
  <si>
    <t>test_join_lines_lone_dash_is_not_a_hyphen</t>
  </si>
  <si>
    <t>test_attach_page_notes_uses_last_section_started_on_or_before_the_page</t>
  </si>
  <si>
    <t>test_attach_page_notes_before_first_section_goes_to_first</t>
  </si>
  <si>
    <t>test_make_section_defaults</t>
  </si>
  <si>
    <t>test_make_section_passes_fields_through</t>
  </si>
  <si>
    <t>test_fetch.py</t>
  </si>
  <si>
    <t>test_sha256_of</t>
  </si>
  <si>
    <t>test_downloads_missing_file_and_verifies_sha</t>
  </si>
  <si>
    <t>test_download_without_manifest_sha_is_accepted</t>
  </si>
  <si>
    <t>test_skips_existing_matching_file</t>
  </si>
  <si>
    <t>test_reports_mismatch_without_overwriting_existing</t>
  </si>
  <si>
    <t>test_downloaded_file_with_different_sha_is_reported_as_updated_at_source</t>
  </si>
  <si>
    <t>test_force_downloads_even_when_file_exists</t>
  </si>
  <si>
    <t>test_html_is_trimmed_to_article</t>
  </si>
  <si>
    <t>test_non_pdf_response_for_pdf_entry_is_an_error</t>
  </si>
  <si>
    <t>test_error_is_recorded_not_raised</t>
  </si>
  <si>
    <t>test_http_error_status_is_an_error</t>
  </si>
  <si>
    <t>test_waits_between_downloads</t>
  </si>
  <si>
    <t>test_report_counts</t>
  </si>
  <si>
    <t>test_write_report</t>
  </si>
  <si>
    <t>test_status_values_are_turkish_keys[indirildi]</t>
  </si>
  <si>
    <t>test_status_values_are_turkish_keys[atlandi]</t>
  </si>
  <si>
    <t>test_status_values_are_turkish_keys[kaynakta_guncellenmis]</t>
  </si>
  <si>
    <t>test_status_values_are_turkish_keys[hata]</t>
  </si>
  <si>
    <t>test_make_client_sets_browser_user_agent</t>
  </si>
  <si>
    <t>test_download_leaves_no_partial_file</t>
  </si>
  <si>
    <t>test_failed_write_keeps_previous_file</t>
  </si>
  <si>
    <t>test_gib_parser.py</t>
  </si>
  <si>
    <t>test_gib_articles_parsed</t>
  </si>
  <si>
    <t>test_gib_document_metadata</t>
  </si>
  <si>
    <t>test_gib_amendment_note_extracted</t>
  </si>
  <si>
    <t>test_gib_footnote_markers_removed</t>
  </si>
  <si>
    <t>test_gib_paragraph_labels</t>
  </si>
  <si>
    <t>test_html_to_text_paragraphs_become_lines</t>
  </si>
  <si>
    <t>test_parse_gib_title[Madde 1 Ama\xe7 ve kapsam-expected0]</t>
  </si>
  <si>
    <t>test_parse_gib_title[Madde 3/A-expected1]</t>
  </si>
  <si>
    <t>test_parse_gib_title[Madde 4(*) Kurulu\u015f-expected2]</t>
  </si>
  <si>
    <t>test_parse_gib_title[Madde 3 \u0130ndirim, istisna, destek ve te\u015fvik unsurlar\u0131 (1)-expected3]</t>
  </si>
  <si>
    <t>test_parse_gib_title[Ge\xe7ici Madde 2-expected4]</t>
  </si>
  <si>
    <t>test_parse_gib_title[Ek Madde 1 (6676 say\u0131l\u0131 Kanunun 13'\xfcnc\xfc maddesiyle eklenen Madde)-expected5]</t>
  </si>
  <si>
    <t>test_parse_gib_title[EK MADDE 3 (7263 say\u0131l\u0131 kanunun 6 nc\u0131 maddesiyle eklenen Ek Madde; Y\xfcr\xfcrl\xfck; 03.02.2021)-expected6]</t>
  </si>
  <si>
    <t>test_unrecognised_title_is_kept_whole</t>
  </si>
  <si>
    <t>test_superseded_wording_is_not_current_text</t>
  </si>
  <si>
    <t>test_footnote_block_after_separator_goes_to_notes</t>
  </si>
  <si>
    <t>test_split_superseded[lines0-1]</t>
  </si>
  <si>
    <t>test_split_superseded[lines1-1]</t>
  </si>
  <si>
    <t>test_split_superseded[lines2-1]</t>
  </si>
  <si>
    <t>test_split_superseded[lines3-2]</t>
  </si>
  <si>
    <t>test_guide_parser.py</t>
  </si>
  <si>
    <t>test_is_heading[1. Giri\u015f-True]</t>
  </si>
  <si>
    <t>test_is_heading[4.2 B\xfct\xe7e-True]</t>
  </si>
  <si>
    <t>test_is_heading[5.2.10. Proje Personeli-True]</t>
  </si>
  <si>
    <t>test_is_heading[BA\u015eVURU KO\u015eULLARI-True]</t>
  </si>
  <si>
    <t>test_is_heading[Destek oran\u0131 en fazla %75'tir.-False]</t>
  </si>
  <si>
    <t>test_is_heading[1. Projelerin puan\u0131 ve \xe7a\u011fr\u0131 b\xfct\xe7esi dikkate al\u0131narak karar verilir.-False]</t>
  </si>
  <si>
    <t>test_is_heading[2026 y\u0131l\u0131nda ba\u015fvurular al\u0131n\u0131r-False]</t>
  </si>
  <si>
    <t>test_is_heading[1. Giri\u015f ..........................................-False]</t>
  </si>
  <si>
    <t>test_is_heading[KOB\u0130:%75 B\xdcY\xdcK:%60.-False]</t>
  </si>
  <si>
    <t>test_is_heading[-False]</t>
  </si>
  <si>
    <t>test_numbered_headings_make_sections</t>
  </si>
  <si>
    <t>test_list_items_out_of_sequence_are_not_headings</t>
  </si>
  <si>
    <t>test_sub_heading_hierarchy</t>
  </si>
  <si>
    <t>test_all_caps_heading</t>
  </si>
  <si>
    <t>test_preamble_before_first_heading_uses_document_title</t>
  </si>
  <si>
    <t>test_table_of_contents_lines_are_dropped</t>
  </si>
  <si>
    <t>test_no_headings_gives_paragraph_sections</t>
  </si>
  <si>
    <t>test_bullets_stay_in_paragraph</t>
  </si>
  <si>
    <t>test_split_paragraphs_on_blank_line_and_sentence_end</t>
  </si>
  <si>
    <t>test_pages_tracked</t>
  </si>
  <si>
    <t>test_amendment_notes_are_moved_out_of_guide_text</t>
  </si>
  <si>
    <t>test_page_footnotes_attach_to_the_section_on_that_page</t>
  </si>
  <si>
    <t>test_hashing.py</t>
  </si>
  <si>
    <t>test_sha256_of_reads_the_whole_file</t>
  </si>
  <si>
    <t>test_parsers_do_not_depend_on_the_http_module</t>
  </si>
  <si>
    <t>test_html_parser.py</t>
  </si>
  <si>
    <t>test_faq_pairs_are_separate_sections</t>
  </si>
  <si>
    <t>test_faq_answer_with_link_and_several_paragraphs</t>
  </si>
  <si>
    <t>test_plain_text_block_is_section</t>
  </si>
  <si>
    <t>test_titled_block_keeps_tables_and_lists</t>
  </si>
  <si>
    <t>test_inner_headings_split_block</t>
  </si>
  <si>
    <t>test_links_block_and_empty_blocks_ignored</t>
  </si>
  <si>
    <t>test_section_hierarchy_name_present</t>
  </si>
  <si>
    <t>test_page_without_article_tag_uses_body</t>
  </si>
  <si>
    <t>test_parse_returns_document_with_metadata</t>
  </si>
  <si>
    <t>test_inline_text_without_paragraph_tags_is_one_block</t>
  </si>
  <si>
    <t>test_ingest.py</t>
  </si>
  <si>
    <t>test_first_ingest_adds_all_and_builds_bm25</t>
  </si>
  <si>
    <t>test_report_is_written_and_counts_cache_layers</t>
  </si>
  <si>
    <t>test_second_ingest_is_noop_and_skips_parse_and_embed</t>
  </si>
  <si>
    <t>test_changed_document_is_reindexed</t>
  </si>
  <si>
    <t>test_ingest_removes_deleted_doc_from_both_indexes</t>
  </si>
  <si>
    <t>test_scanned_docs_reported_not_indexed</t>
  </si>
  <si>
    <t>test_missing_and_broken_sources_are_reported</t>
  </si>
  <si>
    <t>test_no_raw_files_at_all_leaves_the_index_untouched</t>
  </si>
  <si>
    <t>test_document_without_chunks_is_reported_once_not_added_every_time</t>
  </si>
  <si>
    <t>test_manually_added_doc_is_indexed</t>
  </si>
  <si>
    <t>test_full_flag_rebuilds_everything_from_the_caches</t>
  </si>
  <si>
    <t>test_embedding_cache_can_be_disabled</t>
  </si>
  <si>
    <t>test_interrupted_ingest_resumes_without_recomputing</t>
  </si>
  <si>
    <t>test_embedding_batches_follow_config_batch_size</t>
  </si>
  <si>
    <t>test_bm25_disabled_skips_lexical_index</t>
  </si>
  <si>
    <t>test_progress_reports_every_stage</t>
  </si>
  <si>
    <t>test_lazy_embedder_builds_inner_only_when_documents_are_embedded</t>
  </si>
  <si>
    <t>test_lazy_embedder_rejects_dimension_mismatch</t>
  </si>
  <si>
    <t>test_legislation_parser.py</t>
  </si>
  <si>
    <t>test_finds_all_articles</t>
  </si>
  <si>
    <t>test_marker_without_space</t>
  </si>
  <si>
    <t>test_article_marker_variants[MADDE 1 - (1) Bu-1-(1) Bu]</t>
  </si>
  <si>
    <t>test_article_marker_variants[MADDE1- (1) Bu-1-(1) Bu]</t>
  </si>
  <si>
    <t>test_article_marker_variants[MADDE 1 \u2013 (1) Bu-1-(1) Bu]</t>
  </si>
  <si>
    <t>test_article_marker_variants[Madde 1- (1) Bu-1-(1) Bu]</t>
  </si>
  <si>
    <t>test_article_marker_variants[Madde 1. Bu Esaslar-1-Bu Esaslar]</t>
  </si>
  <si>
    <t>test_article_marker_variants[MADDE 5/A - (1) Koordinat\xf6rl\xfck-5/A-(1) Koordinat\xf6rl\xfck]</t>
  </si>
  <si>
    <t>test_article_marker_variants[MADDE 17/A- (1) Program\u0131n-17/A-(1) Program\u0131n]</t>
  </si>
  <si>
    <t>test_temporary_and_additional_article_numbers[GE\xc7\u0130C\u0130 MADDE 16- (1) Eski-Ge\xe7ici 16]</t>
  </si>
  <si>
    <t>test_temporary_and_additional_article_numbers[Ge\xe7ici Madde 1. 3/11/2007-Ge\xe7ici 1]</t>
  </si>
  <si>
    <t>test_temporary_and_additional_article_numbers[EK MADDE 1 \u2013 (1) Bu-Ek 1]</t>
  </si>
  <si>
    <t>test_temporary_and_additional_article_numbers[Ek Madde 1- Stratejik-Ek 1]</t>
  </si>
  <si>
    <t>test_non_article_lines[madde 16.1\u2019 de belirtilen]</t>
  </si>
  <si>
    <t>test_non_article_lines[Maddede belirtilen]</t>
  </si>
  <si>
    <t>test_non_article_lines[MADDE 1]</t>
  </si>
  <si>
    <t>test_non_article_lines[Madde 30.1 kapsam\u0131nda]</t>
  </si>
  <si>
    <t>test_title_is_previous_line_and_footnote_digit_stripped</t>
  </si>
  <si>
    <t>test_title_line_is_removed_from_previous_article</t>
  </si>
  <si>
    <t>test_sentence_line_is_not_taken_as_title</t>
  </si>
  <si>
    <t>test_strip_footnote_digit</t>
  </si>
  <si>
    <t>test_hierarchy_labels</t>
  </si>
  <si>
    <t>test_bolum_resets_on_new_kisim</t>
  </si>
  <si>
    <t>test_hierarchy_line_variants[ONB\u0130R\u0130NC\u0130 B\xd6L\xdcM]</t>
  </si>
  <si>
    <t>test_hierarchy_line_variants[ON ALTINCI B\xd6L\xdcM]</t>
  </si>
  <si>
    <t>test_hierarchy_line_variants[Y\u0130RM\u0130NC\u0130 B\xd6L\xdcM]</t>
  </si>
  <si>
    <t>test_hierarchy_line_variants[B\xd6L\xdcM I]</t>
  </si>
  <si>
    <t>test_hierarchy_line_variants[B\u0130R\u0130NC\u0130 KISIM]</t>
  </si>
  <si>
    <t>test_hierarchy_without_title_line</t>
  </si>
  <si>
    <t>test_amendment_notes_moved_to_metadata</t>
  </si>
  <si>
    <t>test_note_split_over_lines_is_joined</t>
  </si>
  <si>
    <t>test_nested_parentheses_in_note</t>
  </si>
  <si>
    <t>test_amendment_note_forms[(M\xfclga: 28/01/2020-16YK)]</t>
  </si>
  <si>
    <t>test_amendment_note_forms[(EK:11/05/2023-51YK)]</t>
  </si>
  <si>
    <t>test_amendment_note_forms[(Ek iki c\xfcmle: 16/2/2016-6676/28 md.)]</t>
  </si>
  <si>
    <t>test_amendment_note_forms[(De\u011fi\u015fik ibare: 24/07/2024-67YK)]</t>
  </si>
  <si>
    <t>test_amendment_note_forms[(Yeniden d\xfczenleme: 2/3/2020-20YK)]</t>
  </si>
  <si>
    <t>test_amendment_note_forms[(6676 say\u0131l\u0131 Kanunun 26 nc\u0131 maddesiyle de\u011fi\u015fen ibare Y\xfcr\xfcrl\xfck; 01.03.2016)]</t>
  </si>
  <si>
    <t>test_annex_reference_is_not_a_note</t>
  </si>
  <si>
    <t>test_repealed_article_flagged</t>
  </si>
  <si>
    <t>test_paragraphs_split_on_fikra_and_bent</t>
  </si>
  <si>
    <t>test_section_text_keeps_labels_one_per_line</t>
  </si>
  <si>
    <t>test_alt_bent_label</t>
  </si>
  <si>
    <t>test_page_numbers_tracked</t>
  </si>
  <si>
    <t>test_history_table_dropped</t>
  </si>
  <si>
    <t>test_no_articles_gives_empty_list</t>
  </si>
  <si>
    <t>test_programme_code_title_line</t>
  </si>
  <si>
    <t>test_history_table_variants_are_dropped[header0]</t>
  </si>
  <si>
    <t>test_history_table_variants_are_dropped[header1]</t>
  </si>
  <si>
    <t>test_history_table_variants_are_dropped[header2]</t>
  </si>
  <si>
    <t>test_history_table_variants_are_dropped[header3]</t>
  </si>
  <si>
    <t>test_history_table_variants_are_dropped[header4]</t>
  </si>
  <si>
    <t>test_history_table_variants_are_dropped[header5]</t>
  </si>
  <si>
    <t>test_history_table_variants_are_dropped[header6]</t>
  </si>
  <si>
    <t>test_history_table_variants_are_dropped[header7]</t>
  </si>
  <si>
    <t>test_history_table_variants_are_dropped[header8]</t>
  </si>
  <si>
    <t>test_history_table_variants_are_dropped[header9]</t>
  </si>
  <si>
    <t>test_history_table_variants_are_dropped[header10]</t>
  </si>
  <si>
    <t>test_history_table_variants_are_dropped[header11]</t>
  </si>
  <si>
    <t>test_history_table_variants_are_dropped[header12]</t>
  </si>
  <si>
    <t>test_history_table_variants_are_dropped[header13]</t>
  </si>
  <si>
    <t>test_history_table_caps_title_lines_are_dropped</t>
  </si>
  <si>
    <t>test_history_words_inside_the_body_do_not_cut_the_document</t>
  </si>
  <si>
    <t>test_annexes_after_last_article_are_separate_sections</t>
  </si>
  <si>
    <t>test_ordinal_labels[ONUNCU B\xd6L\xdcM-Onuncu B\xf6l\xfcm]</t>
  </si>
  <si>
    <t>test_ordinal_labels[Y\u0130RM\u0130NC\u0130 B\xd6L\xdcM-Yirminci B\xf6l\xfcm]</t>
  </si>
  <si>
    <t>test_ordinal_labels[ONB\u0130R\u0130NC\u0130 B\xd6L\xdcM-On Birinci B\xf6l\xfcm]</t>
  </si>
  <si>
    <t>test_ordinal_labels[Y\u0130RM\u0130 \u0130K\u0130NC\u0130 B\xd6L\xdcM-Yirmi \u0130kinci B\xf6l\xfcm]</t>
  </si>
  <si>
    <t>test_wrapped_number_in_parentheses_is_not_a_fikra</t>
  </si>
  <si>
    <t>test_fikra_starts[(3) Bu]</t>
  </si>
  <si>
    <t>test_fikra_starts[(4) (Ek: 1/1/2020-1YK) Metin]</t>
  </si>
  <si>
    <t>test_fikra_starts[(5) \u201cProje\u201d]</t>
  </si>
  <si>
    <t>test_fikra_starts[(6) 5018]</t>
  </si>
  <si>
    <t>test_note_with_five_words_before_colon</t>
  </si>
  <si>
    <t>test_two_line_title[Tamamlanan projeler i\xe7in destek s\xfcrecinin sonland\u0131r\u0131lmas\u0131 ve ticarile\u015fme-izleme s\xfcreci3-Tamamlanan projeler i\xe7in destek s\xfcrecinin sonland\u0131r\u0131lmas\u0131 ve ticarile\u015fme izleme s\xfcreci]</t>
  </si>
  <si>
    <t>test_two_line_title[Karar\u0131n olu\u015fturulmas\u0131, bildirimi, s\xf6zle\u015fme imzalanmas\u0131 ve proje destek-tarihi-Karar\u0131n olu\u015fturulmas\u0131, bildirimi, s\xf6zle\u015fme imzalanmas\u0131 ve proje destek tarihi]</t>
  </si>
  <si>
    <t>test_lowercase_line_after_sentence_end_is_not_a_title</t>
  </si>
  <si>
    <t>test_page_footnote_goes_to_the_marked_article</t>
  </si>
  <si>
    <t>test_unmarked_footnote_goes_to_the_article_running_at_page_end</t>
  </si>
  <si>
    <t>test_manifest.py</t>
  </si>
  <si>
    <t>test_load_sources_merges_three_manifests</t>
  </si>
  <si>
    <t>test_mevzuat_entry_fields</t>
  </si>
  <si>
    <t>test_program_page_program_code_from_slug</t>
  </si>
  <si>
    <t>test_program_file_doc_type_from_kat</t>
  </si>
  <si>
    <t>test_gib_entry</t>
  </si>
  <si>
    <t>test_infer_doc_type_table[Ar-Ge Faaliyetlerinin Desteklenmesi Hakk\u0131nda Kanun-kanun]</t>
  </si>
  <si>
    <t>test_infer_doc_type_table[Teknoloji ve Yenilik Destek Programlar\u0131na \u0130li\u015fkin Y\xf6netmelik-yonetmelik]</t>
  </si>
  <si>
    <t>test_infer_doc_type_table[Yenilik Destek Program\u0131 Uygulama Esaslar\u0131 Y\xf6nergesi-yonerge]</t>
  </si>
  <si>
    <t>test_infer_doc_type_table[Kamu \u0130htiya\xe7lar\u0131na Y\xf6nelik Destek Programlar\u0131 Y\xf6netmeli\u011fi-yonetmelik]</t>
  </si>
  <si>
    <t>test_infer_doc_type_table[1507- KOB\u0130 Ar-Ge Ba\u015flang\u0131\xe7 Destek Program\u0131 Uygulama Esaslar\u0131-uygulama_esaslari]</t>
  </si>
  <si>
    <t>test_infer_doc_type_table[1004 - M\xfckemmeliyet Merkezi Destek Program\u0131 Usul ve Esaslar\u0131-uygulama_esaslari]</t>
  </si>
  <si>
    <t>test_infer_doc_type_table[Ara\u015ft\u0131rma Projelerinde Uygulanacak \u0130dari ve Mali Esaslar-esaslar]</t>
  </si>
  <si>
    <t>test_infer_doc_type_table[Kaynaklardan 5018 Say\u0131l\u0131 Kamu Mal\xee Y\xf6netimi ve Kontrol Kanununun Kapsam\u0131 D\u0131\u015f\u0131ndaki \u0130darelere Aktar\u0131lan Tutarlara \u0130li\u015fkin Usul ve Esaslar-uygulama_esaslari]</t>
  </si>
  <si>
    <t>test_infer_doc_type_table[Proje Pazar\u0131 Duyurusu-diger]</t>
  </si>
  <si>
    <t>test_infer_doc_type_kind_and_kat_take_precedence</t>
  </si>
  <si>
    <t>test_infer_program_code[1501 - T\xdcB\u0130TAK Sanayi Ar-Ge-1501]</t>
  </si>
  <si>
    <t>test_infer_program_code[ardeb_1001_basvuru_rehberi-1001]</t>
  </si>
  <si>
    <t>test_infer_program_code[2209-A \xdcniversite \xd6\u011frencileri-2209]</t>
  </si>
  <si>
    <t>test_infer_program_code[2026 Y\u0131l\u0131 \xc7a\u011fr\u0131 Duyurusu-None]</t>
  </si>
  <si>
    <t>test_infer_program_code[Akademik-None]</t>
  </si>
  <si>
    <t>test_parse_tr_date[25.09.2026-expected0]</t>
  </si>
  <si>
    <t>test_parse_tr_date[2026-06-10-expected1]</t>
  </si>
  <si>
    <t>test_parse_tr_date[None-None]</t>
  </si>
  <si>
    <t>test_parse_tr_date[-None]</t>
  </si>
  <si>
    <t>test_parse_tr_date[31.02.2026-None]</t>
  </si>
  <si>
    <t>test_doc_id_for</t>
  </si>
  <si>
    <t>test_doc_ids_unique</t>
  </si>
  <si>
    <t>test_manually_added_entry_is_loaded</t>
  </si>
  <si>
    <t>test_mevzuat_program_code_falls_back_to_file_name</t>
  </si>
  <si>
    <t>test_real_manifest_program_codes</t>
  </si>
  <si>
    <t>test_invalid_hand_added_entry_gives_turkish_error[entry0-dosya]</t>
  </si>
  <si>
    <t>test_invalid_hand_added_entry_gives_turkish_error[entry1-baslik]</t>
  </si>
  <si>
    <t>test_normalize.py</t>
  </si>
  <si>
    <t>test_nfc_composes_decomposed_chars</t>
  </si>
  <si>
    <t>test_strips_leftover_combining_marks</t>
  </si>
  <si>
    <t>test_nbsp_and_multispace</t>
  </si>
  <si>
    <t>test_removes_soft_hyphen_and_zero_width_chars</t>
  </si>
  <si>
    <t>test_keeps_newlines_and_strips_line_edges</t>
  </si>
  <si>
    <t>test_keeps_typographic_apostrophe</t>
  </si>
  <si>
    <t>test_collapse_ws</t>
  </si>
  <si>
    <t>test_tr_lower[\u0130K\u0130NC\u0130-ikinci]</t>
  </si>
  <si>
    <t>test_tr_lower[KISIM-k\u0131s\u0131m]</t>
  </si>
  <si>
    <t>test_tr_lower[I\u011fd\u0131r-\u0131\u011fd\u0131r]</t>
  </si>
  <si>
    <t>test_tr_lower[\xd6ZEL-\xf6zel]</t>
  </si>
  <si>
    <t>test_tr_title</t>
  </si>
  <si>
    <t>test_repair_mac_turkish_glyphs</t>
  </si>
  <si>
    <t>test_repair_mac_turkish_keeps_lowercase_fi</t>
  </si>
  <si>
    <t>test_repair_mac_turkish_sharp_s_variant</t>
  </si>
  <si>
    <t>test_repair_g_dot_family</t>
  </si>
  <si>
    <t>test_repair_leaves_normal_text_untouched</t>
  </si>
  <si>
    <t>test_tidy_punctuation</t>
  </si>
  <si>
    <t>test_parsed_cache.py</t>
  </si>
  <si>
    <t>test_path_for</t>
  </si>
  <si>
    <t>test_cache_roundtrip</t>
  </si>
  <si>
    <t>test_latest_returns_the_newest_version_without_the_raw_file</t>
  </si>
  <si>
    <t>test_corrupt_cache_file_is_a_miss</t>
  </si>
  <si>
    <t>test_parse_entry_parses_and_caches</t>
  </si>
  <si>
    <t>test_parse_entry_uses_cache_second_time</t>
  </si>
  <si>
    <t>test_document_sha_comes_from_file_not_manifest</t>
  </si>
  <si>
    <t>test_missing_file_outcome</t>
  </si>
  <si>
    <t>test_scanned_outcome</t>
  </si>
  <si>
    <t>test_error_outcome</t>
  </si>
  <si>
    <t>test_document_has_all_metadata_fields</t>
  </si>
  <si>
    <t>test_parse_all_collects_documents_and_outcomes</t>
  </si>
  <si>
    <t>test_cache_entry_from_another_parser_version_is_a_miss</t>
  </si>
  <si>
    <t>test_default_parser_version_is_set</t>
  </si>
  <si>
    <t>test_long_doc_ids_get_short_unique_file_names</t>
  </si>
  <si>
    <t>test_cache_write_failure_does_not_stop_parsing</t>
  </si>
  <si>
    <t>test_parser_version_is_bumped_when_parser_sources_change</t>
  </si>
  <si>
    <t>test_parser_sources_digest_ignores_line_endings</t>
  </si>
  <si>
    <t>test_parser_registry.py</t>
  </si>
  <si>
    <t>test_parser_for_each_kind[pdf-PdfParser]</t>
  </si>
  <si>
    <t>test_parser_for_each_kind[html-HtmlParser]</t>
  </si>
  <si>
    <t>test_parser_for_each_kind[gib_json-GibParser]</t>
  </si>
  <si>
    <t>test_parser_for_each_kind[xlsx-XlsxParser]</t>
  </si>
  <si>
    <t>test_pdf_parser_marks_scanned</t>
  </si>
  <si>
    <t>test_pdf_parser_falls_back_to_guide_when_few_articles</t>
  </si>
  <si>
    <t>test_pdf_parser_parses_legislation</t>
  </si>
  <si>
    <t>test_pdf_parser_moves_page_footnotes_to_notes</t>
  </si>
  <si>
    <t>test_pdf_text.py</t>
  </si>
  <si>
    <t>test_extract_pages_reads_fixture_pdf</t>
  </si>
  <si>
    <t>test_extract_pages_removes_overprinted_duplicate_chars</t>
  </si>
  <si>
    <t>test_empty_page_has_no_lines</t>
  </si>
  <si>
    <t>test_pages_from_texts_normalizes_and_drops_blank_lines</t>
  </si>
  <si>
    <t>test_pages_from_texts_repairs_legacy_glyphs_document_wide</t>
  </si>
  <si>
    <t>test_is_scanned_for_empty_pdf</t>
  </si>
  <si>
    <t>test_is_scanned_false_for_text_pdf</t>
  </si>
  <si>
    <t>test_is_scanned_when_too_few_chars_per_page</t>
  </si>
  <si>
    <t>test_page_number_regex[7/47-True]</t>
  </si>
  <si>
    <t>test_page_number_regex[45 / 45-True]</t>
  </si>
  <si>
    <t>test_page_number_regex[2-True]</t>
  </si>
  <si>
    <t>test_page_number_regex[- 3 --True]</t>
  </si>
  <si>
    <t>test_page_number_regex[Sayfa 4-True]</t>
  </si>
  <si>
    <t>test_page_number_regex[MADDE 2-False]</t>
  </si>
  <si>
    <t>test_page_number_regex[(1) Bu-False]</t>
  </si>
  <si>
    <t>test_page_number_regex[2025 y\u0131l\u0131nda-False]</t>
  </si>
  <si>
    <t>test_strips_repeated_header_and_page_numbers</t>
  </si>
  <si>
    <t>test_keeps_non_repeated_first_line</t>
  </si>
  <si>
    <t>test_removes_tiklayiniz_lines</t>
  </si>
  <si>
    <t>test_short_documents_keep_repeated_lines</t>
  </si>
  <si>
    <t>test_split_footnotes_moves_bottom_block_out_of_the_text</t>
  </si>
  <si>
    <t>test_quoted_number_line_without_amendment_wording_stays</t>
  </si>
  <si>
    <t>test_footnote_must_be_at_the_bottom_of_the_page</t>
  </si>
  <si>
    <t>test_xlsx_parser.py</t>
  </si>
  <si>
    <t>test_one_table_section_per_sheet</t>
  </si>
  <si>
    <t>test_xlsx_limits_sheet_rows_mention_program_codes</t>
  </si>
  <si>
    <t>test_xlsx_program_sheet_section</t>
  </si>
  <si>
    <t>test_cell_text[None-]</t>
  </si>
  <si>
    <t>test_cell_text[1501-1501]</t>
  </si>
  <si>
    <t>test_cell_text[3500000.0-3500000]</t>
  </si>
  <si>
    <t>test_cell_text[0.15-0.15]</t>
  </si>
  <si>
    <t>test_cell_text[ a\n b -a b]</t>
  </si>
  <si>
    <t>tests/unit/interfaces/gradio_app</t>
  </si>
  <si>
    <t>test_app.py</t>
  </si>
  <si>
    <t>test_page_has_two_tabs_selector_examples_and_disclaimer</t>
  </si>
  <si>
    <t>test_answer_function_is_bound_to_every_way_of_asking</t>
  </si>
  <si>
    <t>test_launch_options_theme_and_stylesheet</t>
  </si>
  <si>
    <t>test_build_with_the_demo_backend_and_with_a_broken_config</t>
  </si>
  <si>
    <t>test_entry_file_builds_the_demo</t>
  </si>
  <si>
    <t>test_chat.py</t>
  </si>
  <si>
    <t>test_selector_choices_default_and_methods</t>
  </si>
  <si>
    <t>test_answer_appends_a_turn_and_clears_the_box</t>
  </si>
  <si>
    <t>test_each_turn_gets_its_own_anchor_prefix</t>
  </si>
  <si>
    <t>test_empty_question_changes_nothing</t>
  </si>
  <si>
    <t>test_too_long_question_is_refused_inline</t>
  </si>
  <si>
    <t>test_backend_errors_become_inline_errors[error0-indeks yok]</t>
  </si>
  <si>
    <t>test_backend_errors_become_inline_errors[error1-Beklenmeyen bir hata olu\u015ftu: CUDA kapal\u0131]</t>
  </si>
  <si>
    <t>test_pending_shows_the_question_at_once</t>
  </si>
  <si>
    <t>test_gpu_duration_depends_on_the_reranker_and_the_environment</t>
  </si>
  <si>
    <t>test_turns_are_plain_strings</t>
  </si>
  <si>
    <t>ZeroGPU pickles arguments and results between processes: keep them plain.</t>
  </si>
  <si>
    <t>test_content.py</t>
  </si>
  <si>
    <t>test_option_label_default_and_speed_note</t>
  </si>
  <si>
    <t>test_answer_lists_only_cited_sources_with_links_and_context</t>
  </si>
  <si>
    <t>test_model_text_is_escaped</t>
  </si>
  <si>
    <t>test_refusals_follow_the_web_texts</t>
  </si>
  <si>
    <t>test_fake_backend_answer_renders</t>
  </si>
  <si>
    <t>test_about_sections_mirror_the_web_page</t>
  </si>
  <si>
    <t>test_footer</t>
  </si>
  <si>
    <t>test_gpu.py</t>
  </si>
  <si>
    <t>test_without_spaces_the_function_is_returned</t>
  </si>
  <si>
    <t>test_with_spaces_the_function_is_wrapped_with_the_duration</t>
  </si>
  <si>
    <t>test_settings.py</t>
  </si>
  <si>
    <t>test_defaults_without_environment</t>
  </si>
  <si>
    <t>test_environment_is_read</t>
  </si>
  <si>
    <t>test_unknown_backend_is_a_config_error</t>
  </si>
  <si>
    <t>test_load_overlay</t>
  </si>
  <si>
    <t>test_space_defaults_only_on_a_space_and_never_override</t>
  </si>
  <si>
    <t>test_gpu_lock_is_on_locally_off_on_cpu_and_when_switched_off</t>
  </si>
  <si>
    <t>test_repository_zerogpu_overlay_is_valid</t>
  </si>
  <si>
    <t>test_build_backend_fake</t>
  </si>
  <si>
    <t>test_build_backend_preloads_unless_switched_off</t>
  </si>
  <si>
    <t>test_pipelines_built_by_the_backend_share_their_components</t>
  </si>
  <si>
    <t>test_build_backend_fetches_the_space_index_for_the_numpy_store</t>
  </si>
  <si>
    <t>test_view.py</t>
  </si>
  <si>
    <t>test_answered_turn_has_linked_citations_and_numbered_sources</t>
  </si>
  <si>
    <t>test_refusal_and_error_turns</t>
  </si>
  <si>
    <t>test_thread_pending_and_empty_state</t>
  </si>
  <si>
    <t>test_selector_helpers</t>
  </si>
  <si>
    <t>test_about_tab_and_footer</t>
  </si>
  <si>
    <t>tests/unit/interfaces</t>
  </si>
  <si>
    <t>test_bootstrap.py</t>
  </si>
  <si>
    <t>test_first_start_pulls_model_warms_and_ingests</t>
  </si>
  <si>
    <t>test_second_start_skips_present_models_and_full_collection</t>
  </si>
  <si>
    <t>test_missing_bm25_index_triggers_ingest</t>
  </si>
  <si>
    <t>test_failed_fetch_is_only_a_warning</t>
  </si>
  <si>
    <t>test_failed_ingest_fails_bootstrap</t>
  </si>
  <si>
    <t>test_switches_skip_ingest_and_warmup</t>
  </si>
  <si>
    <t>test_waits_until_qdrant_answers</t>
  </si>
  <si>
    <t>test_wait_for_times_out</t>
  </si>
  <si>
    <t>test_pull_error_is_reported</t>
  </si>
  <si>
    <t>test_required_models_include_ollama_judge_and_embedder</t>
  </si>
  <si>
    <t>test_flag_parsing</t>
  </si>
  <si>
    <t>test_bundle_restore_skips_fetch_and_ingest</t>
  </si>
  <si>
    <t>test_bundle_restore_can_also_fetch_the_raw_documents</t>
  </si>
  <si>
    <t>test_without_a_bundle_the_ingest_path_runs</t>
  </si>
  <si>
    <t>test_failed_bundle_restore_fails_the_service</t>
  </si>
  <si>
    <t>test_restore_step_without_bundle_returns_false</t>
  </si>
  <si>
    <t>test_restore_step_bad_url_fails_only_when_the_index_is_missing</t>
  </si>
  <si>
    <t>test_hf_access_error_explains_hf_token</t>
  </si>
  <si>
    <t>test_warm_turns_a_denied_download_into_a_turkish_error</t>
  </si>
  <si>
    <t>test_cli.py</t>
  </si>
  <si>
    <t>test_help_lists_six_commands</t>
  </si>
  <si>
    <t>test_invalid_config_path_exits_with_code_2</t>
  </si>
  <si>
    <t>test_invalid_config_field_exits_with_code_2</t>
  </si>
  <si>
    <t>test_fetch_cli_writes_report_and_exit_code</t>
  </si>
  <si>
    <t>test_fetch_cli_only_filters_group_and_exits_0_when_clean</t>
  </si>
  <si>
    <t>test_fetch_cli_rejects_unknown_group</t>
  </si>
  <si>
    <t>test_ingest_cli_prints_summary</t>
  </si>
  <si>
    <t>test_ingest_cli_end_to_end_with_fake_components</t>
  </si>
  <si>
    <t>test_ingest_cli_holds_gpu_lock_for_a_real_embedder</t>
  </si>
  <si>
    <t>test_ingest_cli_refuses_to_start_while_gpu_lock_is_held</t>
  </si>
  <si>
    <t>test_ingest_cli_fake_embedder_needs_no_gpu_lock</t>
  </si>
  <si>
    <t>test_ingest_cli_batch_size_defaults_low_and_passes_full</t>
  </si>
  <si>
    <t>test_ingest_cli_rejects_batch_size_above_gpu_rule</t>
  </si>
  <si>
    <t>test_progress_printer_throttles_and_shows_rate</t>
  </si>
  <si>
    <t>test_ingest_cli_output_fits_the_turkish_windows_codepage</t>
  </si>
  <si>
    <t>Piped output (``| Tee-Object``) is encoded with cp1254 on Turkish Windows.</t>
  </si>
  <si>
    <t>test_ask_cli_prints_answer_and_sources</t>
  </si>
  <si>
    <t>test_ask_cli_json_prints_the_answer_model</t>
  </si>
  <si>
    <t>test_ask_cli_program_and_type_become_filters</t>
  </si>
  <si>
    <t>test_ask_cli_explains_a_refusal</t>
  </si>
  <si>
    <t>test_ask_cli_missing_index_exits_with_code_2</t>
  </si>
  <si>
    <t>test_ask_cli_holds_gpu_lock_for_real_models</t>
  </si>
  <si>
    <t>test_ask_cli_refuses_to_start_while_gpu_lock_is_held</t>
  </si>
  <si>
    <t>test_ask_cli_end_to_end_with_fake_components</t>
  </si>
  <si>
    <t>test_ask_cli_output_fits_the_turkish_windows_codepage</t>
  </si>
  <si>
    <t>test_ask_cli_holds_gpu_lock_when_only_the_llm_is_real</t>
  </si>
  <si>
    <t>test_ask_cli_holds_gpu_lock_when_only_the_reranker_is_real</t>
  </si>
  <si>
    <t>test_ask_cli_skips_gpu_lock_when_every_model_is_fake</t>
  </si>
  <si>
    <t>test_ask_cli_shows_citation_repair</t>
  </si>
  <si>
    <t>test_ask_cli_trace_prints_answer_and_trace_as_json</t>
  </si>
  <si>
    <t>test_serve_starts_uvicorn_with_the_lazy_pipeline_backend</t>
  </si>
  <si>
    <t>test_serve_can_use_the_demo_backend</t>
  </si>
  <si>
    <t>test_serve_with_invalid_config_exits_with_code_2</t>
  </si>
  <si>
    <t>test_cli_module_runs_with_python_dash_m</t>
  </si>
  <si>
    <t>test_cli_run.py</t>
  </si>
  <si>
    <t>test_run_cli_executes_and_writes_report</t>
  </si>
  <si>
    <t>test_run_cli_judge_is_local_and_deterministic</t>
  </si>
  <si>
    <t>test_run_cli_no_judge</t>
  </si>
  <si>
    <t>test_run_cli_warns_when_an_api_provider_is_configured[sections0]</t>
  </si>
  <si>
    <t>test_run_cli_warns_when_an_api_provider_is_configured[sections1]</t>
  </si>
  <si>
    <t>test_run_cli_warns_for_a_hosted_openai_compatible_endpoint</t>
  </si>
  <si>
    <t>test_run_cli_does_not_warn_for_a_local_openai_compatible_endpoint</t>
  </si>
  <si>
    <t>test_run_cli_limit_and_ids</t>
  </si>
  <si>
    <t>test_run_cli_holds_gpu_lock_for_the_whole_run</t>
  </si>
  <si>
    <t>test_run_cli_releases_gpu_lock_when_interrupted_and_explains_resume</t>
  </si>
  <si>
    <t>test_run_cli_refuses_to_start_while_gpu_lock_is_held</t>
  </si>
  <si>
    <t>test_run_cli_resume</t>
  </si>
  <si>
    <t>test_run_cli_resume_errors</t>
  </si>
  <si>
    <t>test_run_cli_ingests_before_building_the_pipeline</t>
  </si>
  <si>
    <t>test_run_cli_missing_index_exits_with_code_2</t>
  </si>
  <si>
    <t>test_report_cli_single_all_and_summary</t>
  </si>
  <si>
    <t>test_report_cli_errors</t>
  </si>
  <si>
    <t>test_progress_printer_eta_ignores_resumed_questions</t>
  </si>
  <si>
    <t>test_gpu_lock.py</t>
  </si>
  <si>
    <t>test_lock_file_holds_owner_while_held_and_is_removed_after</t>
  </si>
  <si>
    <t>test_held_lock_is_refused_in_turkish_and_left_alone</t>
  </si>
  <si>
    <t>test_lock_is_released_when_the_work_fails</t>
  </si>
  <si>
    <t>test_lock_holder_describes_a_held_lock_and_is_none_when_free</t>
  </si>
  <si>
    <t>test_busy_message_is_turkish_and_names_the_holder</t>
  </si>
  <si>
    <t>test_uses_gpu_for_real_embedder_always</t>
  </si>
  <si>
    <t>test_all_fake_config_never_uses_gpu</t>
  </si>
  <si>
    <t>test_answering_uses_gpu_for_real_llm_or_reranker_only</t>
  </si>
  <si>
    <t>test_index_bundle.py</t>
  </si>
  <si>
    <t>test_collection_specs_are_unique_and_carry_model_and_chunker</t>
  </si>
  <si>
    <t>test_export_writes_snapshots_bm25_meta_and_manifest</t>
  </si>
  <si>
    <t>test_export_skips_missing_collections_and_bm25</t>
  </si>
  <si>
    <t>test_export_without_any_collection_fails</t>
  </si>
  <si>
    <t>test_export_rejects_a_corrupt_snapshot_download</t>
  </si>
  <si>
    <t>test_restore_into_empty_stack</t>
  </si>
  <si>
    <t>test_restore_is_idempotent_and_never_overwrites</t>
  </si>
  <si>
    <t>test_restore_rejects_a_tampered_file</t>
  </si>
  <si>
    <t>test_restore_reports_a_point_count_mismatch</t>
  </si>
  <si>
    <t>test_remote_bundle_downloads_verifies_and_restores</t>
  </si>
  <si>
    <t>test_remote_bundle_url_may_name_the_manifest</t>
  </si>
  <si>
    <t>test_remote_bundle_missing_manifest_is_a_bundle_error</t>
  </si>
  <si>
    <t>test_locate_prefers_local_bundle_then_url</t>
  </si>
  <si>
    <t>test_pending_work_tells_whether_anything_must_be_restored</t>
  </si>
  <si>
    <t>test_index_bundle_cli.py</t>
  </si>
  <si>
    <t>test_export_index_uses_every_experiment_collection</t>
  </si>
  <si>
    <t>test_export_index_can_be_limited_to_named_collections</t>
  </si>
  <si>
    <t>test_export_index_reports_bundle_errors_in_turkish</t>
  </si>
  <si>
    <t>test_space_bundle.py</t>
  </si>
  <si>
    <t>test_cache_points_follow_the_bm25_order_with_cached_vectors</t>
  </si>
  <si>
    <t>test_cache_points_ignore_entries_written_with_other_settings</t>
  </si>
  <si>
    <t>test_cache_points_report_missing_chunks_and_vectors</t>
  </si>
  <si>
    <t>test_export_writes_collections_bm25_meta_and_manifest</t>
  </si>
  <si>
    <t>test_export_can_be_limited_and_refuses_empty_collections</t>
  </si>
  <si>
    <t>test_qdrant_source_reads_points_and_wraps_errors</t>
  </si>
  <si>
    <t>test_pack_keeps_paths_relative_to_the_index</t>
  </si>
  <si>
    <t>test_ensure_downloads_verifies_and_extracts</t>
  </si>
  <si>
    <t>test_ensure_without_index_and_url_returns_none</t>
  </si>
  <si>
    <t>test_ensure_rejects_bad_digest_failed_download_and_foreign_archive</t>
  </si>
  <si>
    <t>test_space_bundle_cli.py</t>
  </si>
  <si>
    <t>test_export_space_from_caches_with_archive</t>
  </si>
  <si>
    <t>test_export_space_defaults_to_qdrant_of_the_config</t>
  </si>
  <si>
    <t>test_export_space_errors_exit_non_zero</t>
  </si>
  <si>
    <t>tests/unit/interfaces/web</t>
  </si>
  <si>
    <t>test_about.py</t>
  </si>
  <si>
    <t>test_v3_method_line_is_read_from_the_config_file</t>
  </si>
  <si>
    <t>test_v0_has_fixed_windows_dense_search_and_no_reranker</t>
  </si>
  <si>
    <t>test_v3b_names_its_own_embedding_model</t>
  </si>
  <si>
    <t>test_method_line_follows_config_values</t>
  </si>
  <si>
    <t>test_no_marketing_phrase_in_any_method_line</t>
  </si>
  <si>
    <t>test_corpus_groups_count_documents_by_source_and_kind</t>
  </si>
  <si>
    <t>test_component_lines_list_every_model_once</t>
  </si>
  <si>
    <t>test_component_lines_name_the_numpy_store_of_the_space</t>
  </si>
  <si>
    <t>test_guardrail_lines_name_each_guard[Kapsam kontrol\xfc]</t>
  </si>
  <si>
    <t>test_guardrail_lines_name_each_guard[Arama e\u015fi\u011fi]</t>
  </si>
  <si>
    <t>test_guardrail_lines_name_each_guard[At\u0131f do\u011frulama]</t>
  </si>
  <si>
    <t>test_guardrail_lines_name_each_guard[Say\u0131 do\u011frulama]</t>
  </si>
  <si>
    <t>test_guardrail_lines_name_each_guard[at\u0131f onar\u0131m\u0131]</t>
  </si>
  <si>
    <t>test_admin_security.py</t>
  </si>
  <si>
    <t>test_untrusted_request_is_denied_before_starting_administrative_work[anonymous-ingest-without-body]</t>
  </si>
  <si>
    <t>test_untrusted_request_is_denied_before_starting_administrative_work[anonymous-incremental-ingest]</t>
  </si>
  <si>
    <t>test_untrusted_request_is_denied_before_starting_administrative_work[anonymous-full-index-rebuild]</t>
  </si>
  <si>
    <t>test_untrusted_request_is_denied_before_starting_administrative_work[anonymous-unlimited-experiment]</t>
  </si>
  <si>
    <t>test_untrusted_request_is_denied_before_starting_administrative_work[anonymous-limited-experiment]</t>
  </si>
  <si>
    <t>test_untrusted_request_is_denied_before_starting_administrative_work[invalid-token-ingest-without-body]</t>
  </si>
  <si>
    <t>test_untrusted_request_is_denied_before_starting_administrative_work[invalid-token-incremental-ingest]</t>
  </si>
  <si>
    <t>test_untrusted_request_is_denied_before_starting_administrative_work[invalid-token-full-index-rebuild]</t>
  </si>
  <si>
    <t>test_untrusted_request_is_denied_before_starting_administrative_work[invalid-token-unlimited-experiment]</t>
  </si>
  <si>
    <t>test_untrusted_request_is_denied_before_starting_administrative_work[invalid-token-limited-experiment]</t>
  </si>
  <si>
    <t>test_forged_localhost_headers_cannot_authorize_administrative_work[ingest-without-body]</t>
  </si>
  <si>
    <t>test_forged_localhost_headers_cannot_authorize_administrative_work[incremental-ingest]</t>
  </si>
  <si>
    <t>test_forged_localhost_headers_cannot_authorize_administrative_work[full-index-rebuild]</t>
  </si>
  <si>
    <t>test_forged_localhost_headers_cannot_authorize_administrative_work[unlimited-experiment]</t>
  </si>
  <si>
    <t>test_forged_localhost_headers_cannot_authorize_administrative_work[limited-experiment]</t>
  </si>
  <si>
    <t>test_read_request_never_starts_administrative_work[/api/ingest-405]</t>
  </si>
  <si>
    <t>test_read_request_never_starts_administrative_work[/api/runs-200]</t>
  </si>
  <si>
    <t>test_admin_routes_are_closed_without_a_server_token[ingest-without-body]</t>
  </si>
  <si>
    <t>test_admin_routes_are_closed_without_a_server_token[incremental-ingest]</t>
  </si>
  <si>
    <t>test_admin_routes_are_closed_without_a_server_token[full-index-rebuild]</t>
  </si>
  <si>
    <t>test_admin_routes_are_closed_without_a_server_token[unlimited-experiment]</t>
  </si>
  <si>
    <t>test_admin_routes_are_closed_without_a_server_token[limited-experiment]</t>
  </si>
  <si>
    <t>test_valid_admin_token_starts_the_job[ingest-without-body]</t>
  </si>
  <si>
    <t>test_valid_admin_token_starts_the_job[incremental-ingest]</t>
  </si>
  <si>
    <t>test_valid_admin_token_starts_the_job[full-index-rebuild]</t>
  </si>
  <si>
    <t>test_valid_admin_token_starts_the_job[unlimited-experiment]</t>
  </si>
  <si>
    <t>test_valid_admin_token_starts_the_job[limited-experiment]</t>
  </si>
  <si>
    <t>test_api.py</t>
  </si>
  <si>
    <t>test_ask_returns_answer_with_citations_and_disclaimer</t>
  </si>
  <si>
    <t>test_ask_forwards_filters_and_config</t>
  </si>
  <si>
    <t>test_refusals_return_no_sources[2244 program\u0131nda bursiyere \xf6denen ayl\u0131k burs tutar\u0131 ne kadard\u0131r?]</t>
  </si>
  <si>
    <t>test_refusals_return_no_sources[\u0130stanbul'da yar\u0131n hava nas\u0131l olacak?]</t>
  </si>
  <si>
    <t>test_request_schema_validation_422[payload0]</t>
  </si>
  <si>
    <t>test_request_schema_validation_422[payload1]</t>
  </si>
  <si>
    <t>test_request_schema_validation_422[payload2]</t>
  </si>
  <si>
    <t>test_request_schema_validation_422[payload3]</t>
  </si>
  <si>
    <t>test_request_schema_validation_422[payload4]</t>
  </si>
  <si>
    <t>test_unknown_config_is_422</t>
  </si>
  <si>
    <t>test_ask_while_gpu_is_busy_is_409</t>
  </si>
  <si>
    <t>test_documents_lists_status</t>
  </si>
  <si>
    <t>test_ingest_starts_job_202</t>
  </si>
  <si>
    <t>test_ingest_while_gpu_is_busy_is_409</t>
  </si>
  <si>
    <t>test_ingest_rejects_unknown_fields</t>
  </si>
  <si>
    <t>test_runs_list_and_detail</t>
  </si>
  <si>
    <t>test_unknown_run_is_404_everywhere</t>
  </si>
  <si>
    <t>test_run_report_markdown_and_html</t>
  </si>
  <si>
    <t>test_report_format_is_validated</t>
  </si>
  <si>
    <t>test_runs_post_starts_job</t>
  </si>
  <si>
    <t>test_runs_post_validation[payload0]</t>
  </si>
  <si>
    <t>test_runs_post_validation[payload1]</t>
  </si>
  <si>
    <t>test_runs_post_validation[payload2]</t>
  </si>
  <si>
    <t>test_runs_post_validation[payload3]</t>
  </si>
  <si>
    <t>test_runs_post_while_gpu_is_busy_is_409</t>
  </si>
  <si>
    <t>test_health_ok</t>
  </si>
  <si>
    <t>test_openapi_docs_available</t>
  </si>
  <si>
    <t>test_default_backend_is_demo_backend</t>
  </si>
  <si>
    <t>test_backend_is_switched_by_environment</t>
  </si>
  <si>
    <t>test_injected_backend_is_used</t>
  </si>
  <si>
    <t>test_module_level_app_exists_for_uvicorn</t>
  </si>
  <si>
    <t>test_static_assets_are_served_locally</t>
  </si>
  <si>
    <t>test_unknown_page_returns_html_404_for_browsers</t>
  </si>
  <si>
    <t>test_unknown_api_path_keeps_json_404</t>
  </si>
  <si>
    <t>test_backend.py</t>
  </si>
  <si>
    <t>test_fake_backend_satisfies_protocol</t>
  </si>
  <si>
    <t>test_object_missing_methods_does_not_satisfy_protocol</t>
  </si>
  <si>
    <t>test_comparison.py</t>
  </si>
  <si>
    <t>test_summarize_keeps_headline_metrics_present</t>
  </si>
  <si>
    <t>test_summarize_marks_unfinished_run</t>
  </si>
  <si>
    <t>test_compare_deltas_and_improvement_direction</t>
  </si>
  <si>
    <t>test_compare_metric_missing_in_one_run_has_no_delta</t>
  </si>
  <si>
    <t>test_errors.py</t>
  </si>
  <si>
    <t>test_validation_error_is_422_with_turkish_title_and_details</t>
  </si>
  <si>
    <t>test_malformed_json_is_422_too</t>
  </si>
  <si>
    <t>test_http_404_has_uniform_body</t>
  </si>
  <si>
    <t>test_unknown_route_has_uniform_body</t>
  </si>
  <si>
    <t>test_wrong_method_has_uniform_body</t>
  </si>
  <si>
    <t>test_gpu_lock_is_409</t>
  </si>
  <si>
    <t>test_unavailable_service_is_503</t>
  </si>
  <si>
    <t>test_unknown_pipeline_is_422</t>
  </si>
  <si>
    <t>test_unexpected_error_is_500_with_message</t>
  </si>
  <si>
    <t>test_page_errors_render_html_for_browsers</t>
  </si>
  <si>
    <t>test_error_body_detail_is_optional</t>
  </si>
  <si>
    <t>test_fake_backend.py</t>
  </si>
  <si>
    <t>test_answered_question_has_citations_sources_and_context</t>
  </si>
  <si>
    <t>test_unanswerable_and_out_of_scope_have_no_sources</t>
  </si>
  <si>
    <t>test_documents_cover_every_state</t>
  </si>
  <si>
    <t>test_ingest_jobs_get_increasing_ids</t>
  </si>
  <si>
    <t>test_runs_newest_first_with_reports</t>
  </si>
  <si>
    <t>test_pipelines_list_the_ladder_with_v3_as_default</t>
  </si>
  <si>
    <t>test_pipeline_methods_are_derived_from_each_config</t>
  </si>
  <si>
    <t>test_about_describes_corpus_and_components</t>
  </si>
  <si>
    <t>test_disclaimer_is_the_configured_text</t>
  </si>
  <si>
    <t>test_ask_reports_the_config_used_and_rejects_unknown_ones</t>
  </si>
  <si>
    <t>test_source_context_links_to_document_sections</t>
  </si>
  <si>
    <t>test_document_preview_has_sections_with_repealed_and_amendment_notes</t>
  </si>
  <si>
    <t>test_runs_can_be_started_and_detailed</t>
  </si>
  <si>
    <t>test_busy_gpu_refuses_jobs_and_questions</t>
  </si>
  <si>
    <t>test_health_of_demo_backend</t>
  </si>
  <si>
    <t>test_jobs.py</t>
  </si>
  <si>
    <t>test_successful_job_ends_as_tamam</t>
  </si>
  <si>
    <t>test_failing_job_records_the_error_in_turkish_status</t>
  </si>
  <si>
    <t>test_busy_while_a_job_runs</t>
  </si>
  <si>
    <t>test_job_ids_are_unique_and_unknown_id_has_no_status</t>
  </si>
  <si>
    <t>test_cli_command_runs_the_rag_cli_module_with_this_python</t>
  </si>
  <si>
    <t>test_run_command_writes_output_to_the_log</t>
  </si>
  <si>
    <t>test_run_command_failure_raises_with_exit_code_and_log_tail</t>
  </si>
  <si>
    <t>test_pages.py</t>
  </si>
  <si>
    <t>test_sorgu_page_is_a_conversation_panel</t>
  </si>
  <si>
    <t>test_sorgu_page_has_no_filters</t>
  </si>
  <si>
    <t>test_config_selector_uses_plain_labels</t>
  </si>
  <si>
    <t>test_selected_config_methods_are_shown_under_the_selector</t>
  </si>
  <si>
    <t>test_method_line_comes_from_the_backend_not_the_template</t>
  </si>
  <si>
    <t>test_disclaimer_is_shown_once_on_the_page</t>
  </si>
  <si>
    <t>test_navigation_has_no_experiments_or_documents_page</t>
  </si>
  <si>
    <t>test_removed_pages_are_gone[/deneyler]</t>
  </si>
  <si>
    <t>test_removed_pages_are_gone[/deneyler/ozet]</t>
  </si>
  <si>
    <t>test_removed_pages_are_gone[/ui/karsilastir]</t>
  </si>
  <si>
    <t>test_ingest_action_is_gone</t>
  </si>
  <si>
    <t>test_no_external_scripts_or_styles</t>
  </si>
  <si>
    <t>test_demo_notice_follows_backend_flag</t>
  </si>
  <si>
    <t>test_turn_has_the_question_and_the_reply</t>
  </si>
  <si>
    <t>test_turn_does_not_rewrite_the_browser_url</t>
  </si>
  <si>
    <t>test_sources_block_lists_cited_sources_with_location_and_links</t>
  </si>
  <si>
    <t>test_two_turns_never_share_anchors</t>
  </si>
  <si>
    <t>test_sources_block_lists_only_cited_sources</t>
  </si>
  <si>
    <t>test_reply_names_the_config_and_its_time</t>
  </si>
  <si>
    <t>test_reply_does_not_repeat_the_disclaimer</t>
  </si>
  <si>
    <t>test_not_found_is_a_reply_without_sources</t>
  </si>
  <si>
    <t>test_out_of_scope_is_a_reply_without_sources</t>
  </si>
  <si>
    <t>test_full_page_with_question_renders_the_turn_without_javascript</t>
  </si>
  <si>
    <t>test_invalid_question_is_an_inline_error[   -L\xfctfen bir soru yaz\u0131n.]</t>
  </si>
  <si>
    <t>test_invalid_question_is_an_inline_error[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en fazla 1000 karakter]</t>
  </si>
  <si>
    <t>test_unknown_config_is_an_inline_error</t>
  </si>
  <si>
    <t>test_busy_gpu_is_an_inline_error</t>
  </si>
  <si>
    <t>test_ask_fragment_without_htmx_redirects_to_page</t>
  </si>
  <si>
    <t>test_user_text_is_escaped</t>
  </si>
  <si>
    <t>test_repaired_citation_is_marked_as_added_by_the_guardrail</t>
  </si>
  <si>
    <t>test_unrepaired_answer_has_no_repair_note</t>
  </si>
  <si>
    <t>test_about_page_describes_corpus_models_and_methods</t>
  </si>
  <si>
    <t>test_about_page_has_no_ingest_controls</t>
  </si>
  <si>
    <t>test_old_documents_page_redirects_to_about</t>
  </si>
  <si>
    <t>test_unavailable_service_renders_an_html_error_page</t>
  </si>
  <si>
    <t>test_document_preview_lists_sections_with_anchors</t>
  </si>
  <si>
    <t>test_document_preview_without_parsed_text</t>
  </si>
  <si>
    <t>test_unknown_document_is_404_page</t>
  </si>
  <si>
    <t>test_configs_without_index_are_disabled_in_the_selector</t>
  </si>
  <si>
    <t>test_pipeline_backend.py</t>
  </si>
  <si>
    <t>test_split_hierarchy_separates_article_heading</t>
  </si>
  <si>
    <t>test_section_for_matches_article_then_page</t>
  </si>
  <si>
    <t>test_satisfies_the_web_backend_protocol</t>
  </si>
  <si>
    <t>test_nothing_is_built_at_construction_or_listing</t>
  </si>
  <si>
    <t>test_ask_builds_the_default_pipeline_once_and_reuses_it</t>
  </si>
  <si>
    <t>test_ask_with_a_named_config_and_unknown_config</t>
  </si>
  <si>
    <t>test_lru_keeps_two_pipelines_and_releases_the_oldest</t>
  </si>
  <si>
    <t>test_preload_builds_every_ready_pipeline_and_opens_its_collection</t>
  </si>
  <si>
    <t>test_preload_stops_at_max_pipelines</t>
  </si>
  <si>
    <t>test_answer_context_comes_from_stored_chunks_and_parsed_sections</t>
  </si>
  <si>
    <t>test_refusal_has_no_sources_and_skips_the_chunk_lookup</t>
  </si>
  <si>
    <t>test_ask_holds_the_gpu_lock_only_while_answering</t>
  </si>
  <si>
    <t>test_held_gpu_lock_refuses_the_question_and_frees_pipelines</t>
  </si>
  <si>
    <t>test_missing_index_is_service_unavailable</t>
  </si>
  <si>
    <t>test_documents_combine_manifest_index_and_ingest_report</t>
  </si>
  <si>
    <t>test_documents_without_vector_store_are_service_unavailable</t>
  </si>
  <si>
    <t>test_about_counts_manifest_parse_cache_and_index</t>
  </si>
  <si>
    <t>test_about_without_index_falls_back_to_the_ingest_report</t>
  </si>
  <si>
    <t>test_disclaimer_comes_from_the_server_config</t>
  </si>
  <si>
    <t>test_document_preview_lists_parsed_sections_and_counts</t>
  </si>
  <si>
    <t>test_document_preview_of_unparsed_and_unknown_documents</t>
  </si>
  <si>
    <t>test_runs_list_finished_and_running_newest_first</t>
  </si>
  <si>
    <t>test_run_artifacts_by_id</t>
  </si>
  <si>
    <t>test_no_runs_directory_means_no_runs</t>
  </si>
  <si>
    <t>test_ingest_job_runs_the_cli_and_frees_cached_pipelines</t>
  </si>
  <si>
    <t>test_run_job_runs_the_named_experiment_with_limit</t>
  </si>
  <si>
    <t>test_run_accepts_a_config_path</t>
  </si>
  <si>
    <t>test_jobs_respect_the_gpu_lock</t>
  </si>
  <si>
    <t>test_only_one_job_at_a_time</t>
  </si>
  <si>
    <t>test_health_reports_probes_without_building_anything</t>
  </si>
  <si>
    <t>test_failing_probe_counts_as_down</t>
  </si>
  <si>
    <t>test_from_config_loads_the_file</t>
  </si>
  <si>
    <t>test_default_probes_ask_qdrant_and_the_ollama_tags_endpoint</t>
  </si>
  <si>
    <t>test_without_experiment_configs_the_server_config_is_the_only_pipeline</t>
  </si>
  <si>
    <t>test_failing_chunk_lookup_keeps_the_answer_without_context</t>
  </si>
  <si>
    <t>test_store_without_chunk_counts_still_marks_indexed_documents</t>
  </si>
  <si>
    <t>test_configs_without_index_are_listed_disabled_with_a_hint</t>
  </si>
  <si>
    <t>test_default_moves_to_a_config_that_has_an_index</t>
  </si>
  <si>
    <t>test_asking_a_config_without_index_is_service_unavailable</t>
  </si>
  <si>
    <t>test_index_status_is_cached_for_a_short_time</t>
  </si>
  <si>
    <t>test_failing_index_status_counts_as_available</t>
  </si>
  <si>
    <t>test_index_problem_needs_points_and_bm25_for_lexical_modes</t>
  </si>
  <si>
    <t>test_default_index_status_without_qdrant_checks_only_bm25</t>
  </si>
  <si>
    <t>test_preview_and_state_without_raw_files_after_a_bundle_restore</t>
  </si>
  <si>
    <t>test_overrides_apply_to_the_server_and_every_experiment_config</t>
  </si>
  <si>
    <t>test_default_pipeline_option_wins_when_its_index_exists</t>
  </si>
  <si>
    <t>test_gpu_lock_can_be_turned_off_on_cpu_hosts</t>
  </si>
  <si>
    <t>test_store_index_status_reads_the_numpy_export</t>
  </si>
  <si>
    <t>test_rendering.py</t>
  </si>
  <si>
    <t>test_number_tr[0.7143-3-0,714]</t>
  </si>
  <si>
    <t>test_number_tr[7108.0-0-7.108]</t>
  </si>
  <si>
    <t>test_number_tr[1234.5-2-1.234,50]</t>
  </si>
  <si>
    <t>test_number_tr[None-3-\u2014]</t>
  </si>
  <si>
    <t>test_signed_tr_uses_explicit_sign_and_typographic_minus</t>
  </si>
  <si>
    <t>test_date_tr[2026-09-25-25.09.2026]</t>
  </si>
  <si>
    <t>test_date_tr[2026-10-15T09:05:18-15.10.2026 09:05]</t>
  </si>
  <si>
    <t>test_date_tr[value2-18.07.2020]</t>
  </si>
  <si>
    <t>test_date_tr[None-\u2014]</t>
  </si>
  <si>
    <t>test_date_tr[-\u2014]</t>
  </si>
  <si>
    <t>test_date_tr[bilinmiyor-bilinmiyor]</t>
  </si>
  <si>
    <t>test_link_citations_links_only_known_sources</t>
  </si>
  <si>
    <t>test_link_citations_prefix_keeps_two_answers_apart</t>
  </si>
  <si>
    <t>test_link_citations_escapes_and_splits_paragraphs</t>
  </si>
  <si>
    <t>test_link_citations_links_urls</t>
  </si>
  <si>
    <t>test_plain_paragraphs_keeps_line_breaks</t>
  </si>
  <si>
    <t>test_render_markdown_tables_code_and_wrapped_tables</t>
  </si>
  <si>
    <t>test_render_markdown_shows_raw_html_as_text</t>
  </si>
  <si>
    <t>test_render_markdown_can_shift_headings</t>
  </si>
  <si>
    <t>test_cited_sources_keep_only_numbers_used_in_the_answer</t>
  </si>
  <si>
    <t>test_cited_sources_fall_back_to_all_sources_without_citations</t>
  </si>
  <si>
    <t>test_location_parts_combine_article_page_and_section</t>
  </si>
  <si>
    <t>test_location_parts_without_context_or_with_a_page_location</t>
  </si>
  <si>
    <t>test_seconds_tr[7131.9-7,1 sn]</t>
  </si>
  <si>
    <t>test_seconds_tr[412.6-0,4 sn]</t>
  </si>
  <si>
    <t>test_seconds_tr[0-0,0 sn]</t>
  </si>
  <si>
    <t>test_link_citations_splits_grouped_citations_into_links</t>
  </si>
  <si>
    <t>test_location_parts_skip_a_section_already_named_in_the_location</t>
  </si>
  <si>
    <t>test_schemas.py</t>
  </si>
  <si>
    <t>test_document_state_is_restricted</t>
  </si>
  <si>
    <t>test_job_started_defaults_to_basladi</t>
  </si>
  <si>
    <t>test_ask_result_context_is_optional</t>
  </si>
  <si>
    <t>test_ask_request_strips_and_bounds_the_question</t>
  </si>
  <si>
    <t>test_ask_request_rejects_unknown_doc_type_and_extra_fields</t>
  </si>
  <si>
    <t>test_run_request_limit_must_be_positive</t>
  </si>
  <si>
    <t>test_ingest_request_defaults_to_incremental</t>
  </si>
  <si>
    <t>test_source_context_carries_document_anchor</t>
  </si>
  <si>
    <t>test_health_and_preview_models</t>
  </si>
  <si>
    <t>test_state.py</t>
  </si>
  <si>
    <t>test_fake_is_the_default_without_environment</t>
  </si>
  <si>
    <t>test_pipeline_backend_is_selected_and_stays_lazy</t>
  </si>
  <si>
    <t>test_unknown_backend_kind_is_a_turkish_error</t>
  </si>
  <si>
    <t>test_get_backend_injects_the_app_backend</t>
  </si>
  <si>
    <t>tests/unit/ports</t>
  </si>
  <si>
    <t>test_chunker.py</t>
  </si>
  <si>
    <t>test_structural_stub_satisfies_protocol</t>
  </si>
  <si>
    <t>test_plain_object_is_not_a_chunker</t>
  </si>
  <si>
    <t>test_embedder.py</t>
  </si>
  <si>
    <t>test_fake_embedder_satisfies_protocol</t>
  </si>
  <si>
    <t>test_object_without_embed_query_is_not_an_embedder</t>
  </si>
  <si>
    <t>test_lexical_index.py</t>
  </si>
  <si>
    <t>test_fake_lexical_index_satisfies_protocol</t>
  </si>
  <si>
    <t>test_plain_object_is_not_a_lexical_index</t>
  </si>
  <si>
    <t>test_llm.py</t>
  </si>
  <si>
    <t>test_fake_llm_satisfies_protocol</t>
  </si>
  <si>
    <t>test_plain_object_is_not_an_llm</t>
  </si>
  <si>
    <t>test_llm_error_is_a_runtime_error</t>
  </si>
  <si>
    <t>test_parser.py</t>
  </si>
  <si>
    <t>test_plain_object_is_not_a_parser</t>
  </si>
  <si>
    <t>test_protocols.py</t>
  </si>
  <si>
    <t>test_ports_module_lists_all_components</t>
  </si>
  <si>
    <t>test_every_port_is_a_runtime_checkable_protocol[Embedder]</t>
  </si>
  <si>
    <t>test_every_port_is_a_runtime_checkable_protocol[VectorStore]</t>
  </si>
  <si>
    <t>test_every_port_is_a_runtime_checkable_protocol[Chunker]</t>
  </si>
  <si>
    <t>test_every_port_is_a_runtime_checkable_protocol[LexicalIndex]</t>
  </si>
  <si>
    <t>test_every_port_is_a_runtime_checkable_protocol[Retriever]</t>
  </si>
  <si>
    <t>test_every_port_is_a_runtime_checkable_protocol[Reranker]</t>
  </si>
  <si>
    <t>test_every_port_is_a_runtime_checkable_protocol[LLM]</t>
  </si>
  <si>
    <t>test_every_port_is_a_runtime_checkable_protocol[DocumentParser]</t>
  </si>
  <si>
    <t>test_every_port_is_a_runtime_checkable_protocol[TokenCounter]</t>
  </si>
  <si>
    <t>test_reranker.py</t>
  </si>
  <si>
    <t>test_fake_reranker_satisfies_protocol</t>
  </si>
  <si>
    <t>test_plain_object_is_not_a_reranker</t>
  </si>
  <si>
    <t>test_retriever.py</t>
  </si>
  <si>
    <t>test_plain_object_is_not_a_retriever</t>
  </si>
  <si>
    <t>test_fake_token_counter_satisfies_protocol</t>
  </si>
  <si>
    <t>test_plain_object_is_not_a_token_counter</t>
  </si>
  <si>
    <t>test_vector_store.py</t>
  </si>
  <si>
    <t>test_fake_vector_store_satisfies_protocol</t>
  </si>
  <si>
    <t>test_plain_object_is_not_a_vector_store</t>
  </si>
  <si>
    <t>tests/unit/reporting</t>
  </si>
  <si>
    <t>test_concepts.py</t>
  </si>
  <si>
    <t>test_concepts_cover_all_experiment_keys</t>
  </si>
  <si>
    <t>test_summaries_are_one_short_turkish_paragraph</t>
  </si>
  <si>
    <t>test_unknown_concept_falls_back_to_full_pipeline</t>
  </si>
  <si>
    <t>test_examples.py</t>
  </si>
  <si>
    <t>test_examples_one_good_two_bad</t>
  </si>
  <si>
    <t>test_bad_examples_alternate_failure_kinds</t>
  </si>
  <si>
    <t>test_missed_evidence_with_a_wrong_answer_comes_before_a_right_one</t>
  </si>
  <si>
    <t>test_examples_fill_from_gate_scores_and_never_repeat</t>
  </si>
  <si>
    <t>test_examples_empty</t>
  </si>
  <si>
    <t>test_report.py</t>
  </si>
  <si>
    <t>test_report_is_short_and_has_sections_in_order</t>
  </si>
  <si>
    <t>test_header_names_run_and_corpus_but_not_the_automatic_judge</t>
  </si>
  <si>
    <t>test_describe_method_names_every_component</t>
  </si>
  <si>
    <t>test_key_metrics_table_with_previous_rung</t>
  </si>
  <si>
    <t>test_refusals_and_calibration_in_one_line_each</t>
  </si>
  <si>
    <t>test_examples_show_question_evidence_answer_and_judge</t>
  </si>
  <si>
    <t>test_long_answers_are_cut</t>
  </si>
  <si>
    <t>test_comparison_rows_skip_metrics_missing_in_current</t>
  </si>
  <si>
    <t>test_number_formatting</t>
  </si>
  <si>
    <t>test_find_previous_run_picks_newest_finished</t>
  </si>
  <si>
    <t>test_write_report_compares_with_previous_rung</t>
  </si>
  <si>
    <t>test_citation_repairs_scope_misses_and_llm_errors_are_noted</t>
  </si>
  <si>
    <t>test_find_previous_run_prefers_full_runs_over_newer_partial_ones</t>
  </si>
  <si>
    <t>test_warning_when_previous_run_differs_in_size</t>
  </si>
  <si>
    <t>test_no_judge_run_reports_number_rule_accuracy</t>
  </si>
  <si>
    <t>test_write_report_recomputes_metrics_from_rows</t>
  </si>
  <si>
    <t>test_calibration_uses_the_run_rows</t>
  </si>
  <si>
    <t>test_reviewed_report_shows_claude_metrics_and_notes</t>
  </si>
  <si>
    <t>test_reviewed_report_does_not_compare_with_unreviewed_previous_run</t>
  </si>
  <si>
    <t>test_write_report_without_review_has_no_accuracy</t>
  </si>
  <si>
    <t>test_review.py</t>
  </si>
  <si>
    <t>test_review_dir_is_next_to_runs</t>
  </si>
  <si>
    <t>test_load_review_needs_both_files</t>
  </si>
  <si>
    <t>test_review_must_cover_every_row</t>
  </si>
  <si>
    <t>test_stale_review_of_other_answers_is_ignored</t>
  </si>
  <si>
    <t>test_apply_review_replaces_judge_metrics_and_notes</t>
  </si>
  <si>
    <t>test_strip_keys_drops_judge_metrics</t>
  </si>
  <si>
    <t>test_summary.py</t>
  </si>
  <si>
    <t>test_summary_table_lists_runs_in_ladder_order</t>
  </si>
  <si>
    <t>test_highlight_sentence</t>
  </si>
  <si>
    <t>test_empty_summary</t>
  </si>
  <si>
    <t>test_summary_shows_claude_accuracy_when_every_run_is_reviewed</t>
  </si>
  <si>
    <t>tests/unit/reranking</t>
  </si>
  <si>
    <t>test_cross_encoder.py</t>
  </si>
  <si>
    <t>test_rerank_with_returns_top_n_sorted</t>
  </si>
  <si>
    <t>test_rerank_scores_attached</t>
  </si>
  <si>
    <t>test_empty_candidates</t>
  </si>
  <si>
    <t>test_non_positive_top_n_rejected[0]</t>
  </si>
  <si>
    <t>test_non_positive_top_n_rejected[-1]</t>
  </si>
  <si>
    <t>test_fewer_candidates_than_top_n</t>
  </si>
  <si>
    <t>test_result_without_rerank_score_rejected</t>
  </si>
  <si>
    <t>test_more_than_top_n_results_rejected</t>
  </si>
  <si>
    <t>tests/unit/retrieval</t>
  </si>
  <si>
    <t>test_bm25.py</t>
  </si>
  <si>
    <t>test_is_a_retriever_named_bm25</t>
  </si>
  <si>
    <t>test_bm25_exact_code_match_ranks_first</t>
  </si>
  <si>
    <t>test_results_sorted_by_bm25_score</t>
  </si>
  <si>
    <t>test_query_is_normalized</t>
  </si>
  <si>
    <t>test_filter_applied_after_lexical</t>
  </si>
  <si>
    <t>test_filter_fetches_more_until_k_matches</t>
  </si>
  <si>
    <t>test_missing_chunk_in_store_skipped</t>
  </si>
  <si>
    <t>test_no_lexical_match_returns_empty</t>
  </si>
  <si>
    <t>test_k_zero_returns_empty</t>
  </si>
  <si>
    <t>test_missing_chunks_are_logged</t>
  </si>
  <si>
    <t>test_no_log_when_every_hit_is_in_the_collection</t>
  </si>
  <si>
    <t>test_index_matching_the_collection_passes_the_check</t>
  </si>
  <si>
    <t>test_index_out_of_sync_with_collection_is_a_config_error</t>
  </si>
  <si>
    <t>test_missing_collection_is_a_config_error</t>
  </si>
  <si>
    <t>test_dense.py</t>
  </si>
  <si>
    <t>test_is_a_retriever_named_dense</t>
  </si>
  <si>
    <t>test_returns_k_results_sorted_desc</t>
  </si>
  <si>
    <t>test_scores_dict_has_dense</t>
  </si>
  <si>
    <t>test_query_is_normalized_before_embedding</t>
  </si>
  <si>
    <t>test_filter_passed_to_store</t>
  </si>
  <si>
    <t>test_k_larger_than_index</t>
  </si>
  <si>
    <t>test_filters.py</t>
  </si>
  <si>
    <t>test_apply_filters_program_and_type</t>
  </si>
  <si>
    <t>test_none_filter_passthrough</t>
  </si>
  <si>
    <t>test_normalize_query_strips_and_nfc</t>
  </si>
  <si>
    <t>test_hybrid.py</t>
  </si>
  <si>
    <t>test_is_a_retriever_named_hybrid</t>
  </si>
  <si>
    <t>test_fusion_order_matches_rrf</t>
  </si>
  <si>
    <t>test_returns_only_top_k</t>
  </si>
  <si>
    <t>test_scores_merged_from_both_sides</t>
  </si>
  <si>
    <t>test_result_present_in_only_one_side_still_returned</t>
  </si>
  <si>
    <t>test_filters_forwarded_to_both</t>
  </si>
  <si>
    <t>test_rrf_k_is_used</t>
  </si>
  <si>
    <t>test_invalid_parameters_rejected[kwargs0]</t>
  </si>
  <si>
    <t>test_invalid_parameters_rejected[kwargs1]</t>
  </si>
  <si>
    <t>test_rrf.py</t>
  </si>
  <si>
    <t>test_rrf_known_example</t>
  </si>
  <si>
    <t>test_rrf_item_in_both_lists_beats_single_top_hit</t>
  </si>
  <si>
    <t>test_rrf_k_changes_scores</t>
  </si>
  <si>
    <t>test_rrf_k_zero_rejected[0]</t>
  </si>
  <si>
    <t>test_rrf_k_zero_rejected[-5]</t>
  </si>
  <si>
    <t>test_rrf_empty</t>
  </si>
  <si>
    <t>test_turkish.py</t>
  </si>
  <si>
    <t>test_turkish_lower_dotted_and_dotless_i</t>
  </si>
  <si>
    <t>test_turkish_lower_leaves_no_combining_dot</t>
  </si>
  <si>
    <t>test_tokenizer_keeps_program_codes_and_percent_numbers</t>
  </si>
  <si>
    <t>test_tokenizer_keeps_hyphenated_and_dotted_terms</t>
  </si>
  <si>
    <t>test_stemming_merges_plural_forms</t>
  </si>
  <si>
    <t>test_stopwords_removed</t>
  </si>
  <si>
    <t>test_stopword_list_is_lowercase_turkish</t>
  </si>
  <si>
    <t>test_no_stemming_option</t>
  </si>
  <si>
    <t>test_single_letters_dropped_but_single_digits_kept</t>
  </si>
  <si>
    <t>test_circumflex_letters_are_folded[h\xe2linde-halinde]</t>
  </si>
  <si>
    <t>test_circumflex_letters_are_folded[K\xe2r-kar]</t>
  </si>
  <si>
    <t>test_numbers_are_not_stemmed</t>
  </si>
  <si>
    <t>test_empty_text_has_no_tokens</t>
  </si>
  <si>
    <t>test_az_is_kept_to_distinguish_minimum_from_maximum</t>
  </si>
  <si>
    <t>tests/unit</t>
  </si>
  <si>
    <t>test_architecture.py</t>
  </si>
  <si>
    <t>test_core_does_not_import_web_frameworks</t>
  </si>
  <si>
    <t>test_heavy_libs_only_in_adapters_and_lazily</t>
  </si>
  <si>
    <t>test_unit_tests_mirror_src</t>
  </si>
  <si>
    <t>test_web_guard_flags_core_module_and_allows_interfaces</t>
  </si>
  <si>
    <t>test_heavy_guard_flags_core_and_module_level_adapter_imports</t>
  </si>
  <si>
    <t>test_mirror_guard_reports_missing_test_module</t>
  </si>
  <si>
    <t>test_compose_file.py</t>
  </si>
  <si>
    <t>test_stack_has_app_qdrant_ollama_and_init</t>
  </si>
  <si>
    <t>test_only_the_web_app_publishes_a_port</t>
  </si>
  <si>
    <t>test_named_volumes_persist_index_models_and_runs</t>
  </si>
  <si>
    <t>test_app_waits_for_init_and_healthy_services</t>
  </si>
  <si>
    <t>test_default_stack_is_cpu_and_local</t>
  </si>
  <si>
    <t>test_gpu_override_reserves_nvidia_devices</t>
  </si>
  <si>
    <t>test_init_reads_the_prebuilt_index_bundle</t>
  </si>
  <si>
    <t>test_hf_token_is_passed_through_only_when_set</t>
  </si>
  <si>
    <t>test_openai_compatible_settings_default_to_the_local_ollama</t>
  </si>
  <si>
    <t>test_release_folder_is_kept_out_of_git_and_the_image</t>
  </si>
  <si>
    <t>test_config.py</t>
  </si>
  <si>
    <t>test_default_yaml_loads</t>
  </si>
  <si>
    <t>test_default_yaml_matches_model_defaults</t>
  </si>
  <si>
    <t>default.yaml spells out every field explicitly; it must equal the code defaults.</t>
  </si>
  <si>
    <t>test_default_yaml_lists_every_field</t>
  </si>
  <si>
    <t>Teaching aid: every config field appears explicitly in default.yaml.</t>
  </si>
  <si>
    <t>test_unknown_field_raises_config_error</t>
  </si>
  <si>
    <t>test_invalid_literal_raises_config_error</t>
  </si>
  <si>
    <t>test_wrong_type_raises_config_error</t>
  </si>
  <si>
    <t>test_missing_file_raises_config_error</t>
  </si>
  <si>
    <t>test_malformed_yaml_raises_config_error</t>
  </si>
  <si>
    <t>test_non_mapping_yaml_raises_config_error</t>
  </si>
  <si>
    <t>test_empty_yaml_gives_defaults</t>
  </si>
  <si>
    <t>test_env_interpolation</t>
  </si>
  <si>
    <t>test_env_default_when_unset</t>
  </si>
  <si>
    <t>test_code_defaults_are_interpolated</t>
  </si>
  <si>
    <t>Defaults declared in code use the same ${VAR:default} syntax as YAML.</t>
  </si>
  <si>
    <t>test_env_without_default_and_unset_becomes_empty</t>
  </si>
  <si>
    <t>test_dotenv_is_loaded_without_overriding_env</t>
  </si>
  <si>
    <t>test_empty_dotenv_values_do_not_pollute_environment</t>
  </si>
  <si>
    <t>`KEY=` lines copied from .env.example must not become empty env vars (e.g. HF_HOME='').</t>
  </si>
  <si>
    <t>test_placeholders_are_resolved_exactly_once</t>
  </si>
  <si>
    <t>An env value that itself contains ${...} is used verbatim, in every kind of field.</t>
  </si>
  <si>
    <t>test_double_dollar_escapes_a_literal_placeholder</t>
  </si>
  <si>
    <t>test_to_yaml_keeps_literal_placeholders_on_reload</t>
  </si>
  <si>
    <t>test_directory_path_raises_config_error</t>
  </si>
  <si>
    <t>test_extends_cycle_raises_config_error</t>
  </si>
  <si>
    <t>test_extends_self_reference_raises_config_error</t>
  </si>
  <si>
    <t>test_extends_deep_merges</t>
  </si>
  <si>
    <t>test_extends_is_relative_to_file</t>
  </si>
  <si>
    <t>test_overrides_are_deep_merged_last</t>
  </si>
  <si>
    <t>test_to_yaml_round_trips</t>
  </si>
  <si>
    <t>test_experiment_configs_match_ladder[v0-fixed-False-dense-False-google/embeddinggemma-2]</t>
  </si>
  <si>
    <t>test_experiment_configs_match_ladder[v0r-fixed-False-dense-True-google/embeddinggemma-2]</t>
  </si>
  <si>
    <t>test_experiment_configs_match_ladder[v1-structural-True-dense-False-google/embeddinggemma-2]</t>
  </si>
  <si>
    <t>test_experiment_configs_match_ladder[v2-structural-True-hybrid-False-google/embeddinggemma-2]</t>
  </si>
  <si>
    <t>test_experiment_configs_match_ladder[v3-structural-True-hybrid-True-google/embeddinggemma-2]</t>
  </si>
  <si>
    <t>test_experiment_configs_match_ladder[v3b-structural-True-hybrid-True-BAAI/bge-m3]</t>
  </si>
  <si>
    <t>test_experiment_concepts_and_previous[v0-fixed_chunking-None]</t>
  </si>
  <si>
    <t>test_experiment_concepts_and_previous[v0r-reranker-v0]</t>
  </si>
  <si>
    <t>test_experiment_concepts_and_previous[v1-structural_context-v0]</t>
  </si>
  <si>
    <t>test_experiment_concepts_and_previous[v2-hybrid_rrf-v1]</t>
  </si>
  <si>
    <t>test_experiment_concepts_and_previous[v3-full_pipeline-v2]</t>
  </si>
  <si>
    <t>test_experiment_concepts_and_previous[v3b-embedding_comparison-v3]</t>
  </si>
  <si>
    <t>test_v3b_uses_bge_m3_dimension</t>
  </si>
  <si>
    <t>test_default_llm_is_under_8b</t>
  </si>
  <si>
    <t>NFR-HW3: the default LLM tag must be a small (&lt; 8B) model.</t>
  </si>
  <si>
    <t>test_bm25_provider_is_bm25s_by_default_and_validated</t>
  </si>
  <si>
    <t>test_number_check_defaults_to_strip_and_is_validated</t>
  </si>
  <si>
    <t>test_openai_compat_settings_never_hold_the_key</t>
  </si>
  <si>
    <t>NFR-CONF2: only the *name* of the key variable is configured; the URL comes from env.</t>
  </si>
  <si>
    <t>test_device_policy.py</t>
  </si>
  <si>
    <t>test_env_overrides_configured_device</t>
  </si>
  <si>
    <t>test_choose_device[auto-True-cuda]</t>
  </si>
  <si>
    <t>test_choose_device[auto-False-cpu]</t>
  </si>
  <si>
    <t>test_choose_device[cuda-True-cuda]</t>
  </si>
  <si>
    <t>test_choose_device[cpu-True-cpu]</t>
  </si>
  <si>
    <t>test_cpu_setting_never_probes_the_gpu</t>
  </si>
  <si>
    <t>test_cuda_without_gpu_is_a_config_error</t>
  </si>
  <si>
    <t>test_unknown_device_is_a_config_error</t>
  </si>
  <si>
    <t>test_cpu_candidates_env_override</t>
  </si>
  <si>
    <t>test_plan_caps_candidates_on_cpu</t>
  </si>
  <si>
    <t>test_plan_leaves_gpu_untouched</t>
  </si>
  <si>
    <t>test_plan_zero_disables_reranker_on_cpu</t>
  </si>
  <si>
    <t>test_plan_without_bound_or_below_bound_changes_nothing</t>
  </si>
  <si>
    <t>test_apply_policy_on_cpu_only_machine</t>
  </si>
  <si>
    <t>test_apply_policy_on_gpu_machine_keeps_config</t>
  </si>
  <si>
    <t>test_apply_policy_env_forces_cpu_and_disables_reranker</t>
  </si>
  <si>
    <t>test_apply_policy_is_idempotent</t>
  </si>
  <si>
    <t>test_fake_components_are_not_probed</t>
  </si>
  <si>
    <t>test_cpu_max_candidates_must_not_be_negative</t>
  </si>
  <si>
    <t>test_factory.py</t>
  </si>
  <si>
    <t>test_build_embedder_unknown_provider_lists_registered</t>
  </si>
  <si>
    <t>test_unknown_component_error_is_a_key_error</t>
  </si>
  <si>
    <t>test_fake_providers_are_built_from_config</t>
  </si>
  <si>
    <t>test_registering_new_component_is_one_line</t>
  </si>
  <si>
    <t>test_build_reranker_returns_none_when_disabled</t>
  </si>
  <si>
    <t>test_provider_switch_by_config_only</t>
  </si>
  <si>
    <t>test_default_llm_is_local_and_small</t>
  </si>
  <si>
    <t>test_build_chunker_uses_chunker_name</t>
  </si>
  <si>
    <t>test_build_token_counter_parses_spec</t>
  </si>
  <si>
    <t>test_build_token_counter_unknown_kind</t>
  </si>
  <si>
    <t>test_ollama_embedder_is_built_from_config</t>
  </si>
  <si>
    <t>test_sentence_transformers_embedder_is_built_from_config</t>
  </si>
  <si>
    <t>test_chunkers_are_built_from_config</t>
  </si>
  <si>
    <t>test_hf_token_counter_is_registered</t>
  </si>
  <si>
    <t>test_qdrant_vector_store_is_built_from_config</t>
  </si>
  <si>
    <t>test_numpy_vector_store_is_built_from_config</t>
  </si>
  <si>
    <t>test_bm25s_lexical_index_is_built_from_config</t>
  </si>
  <si>
    <t>test_build_lexical_index_unknown_provider</t>
  </si>
  <si>
    <t>test_build_retriever_by_mode_uses_config_collection[dense-DenseRetriever]</t>
  </si>
  <si>
    <t>test_build_retriever_by_mode_uses_config_collection[bm25-Bm25Retriever]</t>
  </si>
  <si>
    <t>test_build_retriever_by_mode_uses_config_collection[hybrid-HybridRetriever]</t>
  </si>
  <si>
    <t>test_build_retriever_rejects_bm25_out_of_sync_with_collection[bm25]</t>
  </si>
  <si>
    <t>test_build_retriever_rejects_bm25_out_of_sync_with_collection[hybrid]</t>
  </si>
  <si>
    <t>test_build_retriever_passes_rrf_k</t>
  </si>
  <si>
    <t>test_build_retriever_lexical_modes_need_bm25[bm25]</t>
  </si>
  <si>
    <t>test_build_retriever_lexical_modes_need_bm25[hybrid]</t>
  </si>
  <si>
    <t>test_regex_token_counter_warns_that_it_is_for_tests</t>
  </si>
  <si>
    <t>test_cross_encoder_reranker_is_built_from_config</t>
  </si>
  <si>
    <t>test_build_pipeline_follows_retriever_and_reranker_config[dense-False-DenseRetriever-dense]</t>
  </si>
  <si>
    <t>test_build_pipeline_follows_retriever_and_reranker_config[dense-True-DenseRetriever-rerank]</t>
  </si>
  <si>
    <t>test_build_pipeline_follows_retriever_and_reranker_config[hybrid-False-HybridRetriever-dense]</t>
  </si>
  <si>
    <t>test_build_pipeline_follows_retriever_and_reranker_config[hybrid-True-HybridRetriever-rerank]</t>
  </si>
  <si>
    <t>test_build_pipeline_follows_retriever_and_reranker_config[bm25-False-Bm25Retriever-bm25]</t>
  </si>
  <si>
    <t>test_build_pipeline_wires_guardrail_and_retrieval_settings</t>
  </si>
  <si>
    <t>test_build_pipeline_without_bm25_index_asks_for_ingest[bm25]</t>
  </si>
  <si>
    <t>test_build_pipeline_without_bm25_index_asks_for_ingest[hybrid]</t>
  </si>
  <si>
    <t>test_build_pipeline_dense_mode_needs_no_bm25_index</t>
  </si>
  <si>
    <t>test_shared_components_build_each_key_once</t>
  </si>
  <si>
    <t>test_build_pipeline_with_shared_components_reuses_models_across_configs</t>
  </si>
  <si>
    <t>test_transformers_llm_is_registered</t>
  </si>
  <si>
    <t>test_fakes.py</t>
  </si>
  <si>
    <t>test_fake_embedder_is_deterministic</t>
  </si>
  <si>
    <t>test_fake_embedder_vectors_are_unit_length_and_distinct</t>
  </si>
  <si>
    <t>test_fake_embedder_counts_document_calls</t>
  </si>
  <si>
    <t>test_inmemory_store_filters_by_program</t>
  </si>
  <si>
    <t>test_inmemory_store_filters_by_doc_type</t>
  </si>
  <si>
    <t>test_inmemory_store_ranks_by_cosine_and_records_dense_score</t>
  </si>
  <si>
    <t>test_inmemory_store_bookkeeping</t>
  </si>
  <si>
    <t>test_inmemory_store_indexed_docs_of_missing_collection_is_empty</t>
  </si>
  <si>
    <t>test_inmemory_store_drop_collection_removes_everything</t>
  </si>
  <si>
    <t>test_inmemory_store_count_of_missing_collection_is_zero</t>
  </si>
  <si>
    <t>test_inmemory_store_rejects_mismatched_lengths</t>
  </si>
  <si>
    <t>test_fake_llm_returns_responses_in_order_and_records_calls</t>
  </si>
  <si>
    <t>test_fake_llm_fails_loudly_when_out_of_responses</t>
  </si>
  <si>
    <t>test_fake_reranker_scores_by_query_word_overlap</t>
  </si>
  <si>
    <t>test_fake_lexical_index_counts_terms_and_round_trips</t>
  </si>
  <si>
    <t>test_regex_token_counter_counts_words_and_punctuation</t>
  </si>
  <si>
    <t>test_pipeline.py</t>
  </si>
  <si>
    <t>test_out_of_scope_returns_kapsam_disi_without_retrieval_or_sources</t>
  </si>
  <si>
    <t>test_out_of_scope_by_llm_classifier_counts_its_call</t>
  </si>
  <si>
    <t>test_below_threshold_returns_bilgi_bulunamadi_with_no_llm_call_and_no_sources</t>
  </si>
  <si>
    <t>test_pipeline_no_results_no_llm_call</t>
  </si>
  <si>
    <t>test_valid_answer_has_citations_sources_and_disclaimer</t>
  </si>
  <si>
    <t>test_disclaimer_is_given_once_in_its_own_field</t>
  </si>
  <si>
    <t>test_citation_numbers_follow_prompt_order_not_retrieval_order</t>
  </si>
  <si>
    <t>test_llm_answer_with_fabricated_citation_is_rejected_to_bilgi_bulunamadi</t>
  </si>
  <si>
    <t>test_uncited_answer_is_refused</t>
  </si>
  <si>
    <t>test_llm_not_answerable_returns_no_sources</t>
  </si>
  <si>
    <t>test_invalid_llm_json_treated_as_not_found</t>
  </si>
  <si>
    <t>test_llm_error_gives_turkish_message_without_sources</t>
  </si>
  <si>
    <t>test_number_guardrail_strip_drops_the_ungrounded_sentence</t>
  </si>
  <si>
    <t>test_number_guardrail_reject_mode_refuses</t>
  </si>
  <si>
    <t>test_number_guardrail_strip_refuses_when_no_cited_sentence_remains</t>
  </si>
  <si>
    <t>test_number_in_uncited_prompt_source_is_kept_and_cited_not_stripped</t>
  </si>
  <si>
    <t>test_number_guardrail_off_keeps_the_answer</t>
  </si>
  <si>
    <t>test_announcement_link_added_when_cited_source_defers_to_call</t>
  </si>
  <si>
    <t>test_announcement_link_prefers_cited_program_page</t>
  </si>
  <si>
    <t>test_no_announcement_link_from_uncited_source</t>
  </si>
  <si>
    <t>test_reranker_used_when_present_and_scores_kept</t>
  </si>
  <si>
    <t>test_without_reranker_candidates_are_cut_to_top_n</t>
  </si>
  <si>
    <t>test_latency_fields_filled_and_llm_call_count</t>
  </si>
  <si>
    <t>test_scope_llm_call_and_answer_call_are_both_counted</t>
  </si>
  <si>
    <t>test_filters_forwarded</t>
  </si>
  <si>
    <t>test_trace_is_filled_when_provided</t>
  </si>
  <si>
    <t>test_every_refusal_reason_has_a_turkish_label</t>
  </si>
  <si>
    <t>test_get_chunks_reads_the_pipeline_collection</t>
  </si>
  <si>
    <t>test_get_chunks_without_store_is_empty</t>
  </si>
  <si>
    <t>test_top_n_must_be_positive[0]</t>
  </si>
  <si>
    <t>test_top_n_must_be_positive[-1]</t>
  </si>
  <si>
    <t>test_number_in_uncited_prompt_source_is_answered_with_repaired_citation</t>
  </si>
  <si>
    <t>test_repo_testset_quotes_match_parsed_corpus</t>
  </si>
  <si>
    <t>Every evidence quote is found verbatim in the parsed text (needs ``data/raw``). — integration işaretli: ayrıştırılmış corpus gerekir (-m integration ile koşulur)</t>
  </si>
  <si>
    <t>Birim testleri – modüle göre özet</t>
  </si>
  <si>
    <t>Komut: python -m pytest tests/unit -q -rA --junitxml=junit.xml (çevrimdışı; GPU, Docker ve API çağrısı yok).</t>
  </si>
  <si>
    <t>Modül</t>
  </si>
  <si>
    <t>Test</t>
  </si>
  <si>
    <t>xfail</t>
  </si>
  <si>
    <t>xfail (beklenen hata): bilinen ve açıkça kayıtlı bir açığı belgeleyen test; test başarısız olmalıdır ve olduğu için "beklenen" sayılır. Buradaki 12 xfail: sorudaki bir sayı (yüzde, tutar, süre, tarih) kaynakta olmadan cevabı "dayanaklı" gösterebiliyor (grounding_tokens).</t>
  </si>
  <si>
    <t>Seçilmedi (integration): pyproject.toml 'not integration' ile varsayılan koşudan çıkarılır; ayrıştırılmış corpus (data/raw + parse önbelleği) ister.</t>
  </si>
  <si>
    <t>Terim</t>
  </si>
  <si>
    <t>Açıklama</t>
  </si>
  <si>
    <t>Test seti (testset_v1)</t>
  </si>
  <si>
    <t>104 soru: 79 cevaplanabilir (tek belge 43, çok belge 16, sürüm 10, belirsiz 10) ve 25 reddedilmesi gereken (cevapsız 15, kapsam dışı 10). Sorular ayrıştırılmış belgeler okunarak yazıldı; insan incelemesi henüz yapılmadı (dogrulandi = false).</t>
  </si>
  <si>
    <t>Kanıt alıntısı</t>
  </si>
  <si>
    <t>Cevabı kanıtlayan, belgede birebir geçen kısa cümle (soru başına 1–3, toplam 117). Getirilen parça alıntının belgesinden ise ve alıntının tamamını içeriyorsa isabettir. Parça kimliğine değil belgeye bağlı olduğu için farklı parçalama yöntemleri aynı setle adil ölçülür; hakeme bağlı değildir.</t>
  </si>
  <si>
    <t>Herhangi bir kanıt alıntısını içeren ilk parçanın 30 aday içindeki sırası. Dil modeline yalnız ilk 5 parça gider.</t>
  </si>
  <si>
    <t>Recall@k (R@5, R@10)</t>
  </si>
  <si>
    <t>Bir sorunun kanıt alıntılarından kaçının ilk k parçada bulunduğu (0–1); cevaplanabilir sorular üzerinden ortalaması alınır. Kapsam kontrolünün yanlışlıkla durdurduğu 2 soru ölçüme katılmaz (77 soru).</t>
  </si>
  <si>
    <t>Mean Reciprocal Rank: ilk isabetin sırasının tersi (1. sıra 1; 2. sıra 0,5; 3. sıra 0,33; 30 adayda yoksa 0), sorular üzerinden ortalama.</t>
  </si>
  <si>
    <t>Belge isabeti@k</t>
  </si>
  <si>
    <t>Beklenen belgelerden en az birinin ilk k parçada olması; aynı bilgi başka belgede de geçtiğinde alıntı ölçümünü tamamlar.</t>
  </si>
  <si>
    <t>Claude incelemesi</t>
  </si>
  <si>
    <t>Altı koşunun 624 cevabı Claude (Opus) ile tek tek okundu: soru, beklenen cevap, sistemin cevabı ve atıf yapılan kaynak metinleri verildi. Bu çalışma kitabındaki doğruluk, sadakat ve ret sayıları yalnız bu incelemeden gelir; koşu içindeki otomatik hakem sonuçları kullanılmaz.</t>
  </si>
  <si>
    <t>Doğru cevap / Yanlış cevap</t>
  </si>
  <si>
    <t>Cevaplanabilir ve cevaplanmış soruda cevap beklenen cevapla özünde aynı mı. Doğruluk = Doğru cevap sayısı / 79 (gereksiz ret yanlış sayılır).</t>
  </si>
  <si>
    <t>Kaynağa sadık (sadakat)</t>
  </si>
  <si>
    <t>Cevaptaki her iddia atıf yapılan kaynakta geçiyor mu. Sadakat = Evet / (Evet + Hayır), cevaplanmış cevaplanabilir sorularda. Kaynakların ilk ~1.000 karakteri gösterildiği için temkinli okunmalı.</t>
  </si>
  <si>
    <t>Cevapsız veya kapsam dışı soruda sistemin cevap vermemesi (cevap metninde "kaynaklarda bu bilgi yok" demesi de doğru ret sayılır). Oran = Doğru ret / 25.</t>
  </si>
  <si>
    <t>Cevabı corpus'ta olan soruya "bilgi bulunamadı" ya da "kapsam dışı" denmesi. Hatanın yeri: arama (kanıt ilk 5'te yok), üretim (kanıt ilk 5'te vardı; model ya da denetim reddetti), belirsiz. Yanlış ret oranı = gereksiz ret / 79.</t>
  </si>
  <si>
    <t>Cevabı corpus'ta olmayan soruya dayanaksız cevap verilmesi (ör. başka bir tutarın soruya mal edilmesi).</t>
  </si>
  <si>
    <t>Hakem gerektirmeyen, kodla hesaplanan kontroller: beklenen sayılar cevapta mı (69 soru), atıf kesinliği, belirsiz soruda programlara ayırma, sayı denetimiyle ret, sistem hatası.</t>
  </si>
  <si>
    <t>Sistem durumu / ret nedeni</t>
  </si>
  <si>
    <t>Cevaplandı; Ret: kapsam dışı (kapsam kontrolü); Ret: skor eşik altı (reranker kapısı); Ret: dayanaksız sayı (cevaptaki sayı kaynakta yok); Ret: atıfsız cevap / geçersiz atıf (atıf denetimi); Ret: bilgi yok (model kendisi "bilgi bulunamadı" dedi).</t>
  </si>
  <si>
    <t>Birim testi</t>
  </si>
  <si>
    <t>tests/unit altındaki, sahte (fake) bileşenlerle çevrimdışı koşan pytest testleri; GPU, Docker, ağ ya da API gerektirmez.</t>
  </si>
  <si>
    <t>"Expected failure": bilinen bir açığı belgeleyen test. Test başarısız olur ve bu beklendiği için koşu kırılmaz; açık kapatıldığında test geçer ve işaret kaldırılır.</t>
  </si>
  <si>
    <t>integration işaretli testler varsayılan koşudan çıkarılır (gerçek corpus ya da servis ister).</t>
  </si>
  <si>
    <t>Ortak ayarlar</t>
  </si>
  <si>
    <t>Altı koşuda aynı test seti ve aynı cevap modeli (qwen3:4b, temperature 0); varsayılan embedding EmbeddingGemma 2, reranker bge-reranker-v2-m3; 30 aday, dil modeline ilk 5 parça. Gecikmeler RTX 3080 GPU'da ölçüldü.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</si>
</sst>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1"/>
      <color theme="1"/>
      <name val="Calibri"/>
      <family val="2"/>
      <scheme val="minor"/>
    </font>
    <font>
      <b/>
      <sz val="10"/>
      <color rgb="FFFFFFFF"/>
      <name val="Arial"/>
    </font>
    <font>
      <b/>
      <sz val="10"/>
      <name val="Arial"/>
    </font>
    <font>
      <sz val="10"/>
      <name val="Arial"/>
    </font>
    <font>
      <b/>
      <sz val="10"/>
      <color rgb="FF000000"/>
      <name val="Arial"/>
    </font>
    <font>
      <sz val="9"/>
      <color rgb="FF404040"/>
      <name val="Arial"/>
    </font>
    <font>
      <b/>
      <sz val="14"/>
      <color rgb="FF1F3A5F"/>
      <name val="Arial"/>
    </font>
    <font>
      <sz val="9"/>
      <color rgb="FF595959"/>
      <name val="Arial"/>
    </font>
    <font>
      <b/>
      <sz val="16"/>
      <color rgb="FF1F3A5F"/>
      <name val="Arial"/>
    </font>
    <font>
      <i/>
      <sz val="9"/>
      <color rgb="FF595959"/>
      <name val="Arial"/>
    </font>
    <font>
      <b/>
      <sz val="12"/>
      <color rgb="FF1F3A5F"/>
      <name val="Arial"/>
    </font>
    <font>
      <sz val="10"/>
      <color rgb="FF404040"/>
      <name val="Arial"/>
    </font>
  </fonts>
  <fills count="5">
    <fill>
      <patternFill patternType="none"/>
    </fill>
    <fill>
      <patternFill patternType="gray125"/>
    </fill>
    <fill>
      <patternFill patternType="solid">
        <fgColor rgb="FF1F3A5F"/>
      </patternFill>
    </fill>
    <fill>
      <patternFill patternType="solid">
        <fgColor rgb="FFD6DCE4"/>
      </patternFill>
    </fill>
    <fill>
      <patternFill patternType="solid">
        <fgColor rgb="FFF2F2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0" fontId="8"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1" fillId="2" borderId="1" xfId="0" applyFont="1" applyFill="1" applyBorder="1" applyAlignment="1">
      <alignment horizontal="center" vertical="center" wrapText="1"/>
    </xf>
    <xf numFmtId="0" fontId="3" fillId="0" borderId="1" xfId="0" applyFont="1" applyBorder="1" applyAlignment="1">
      <alignment horizontal="left" vertical="top"/>
    </xf>
    <xf numFmtId="0" fontId="3" fillId="0" borderId="1" xfId="0" applyFont="1" applyBorder="1" applyAlignment="1">
      <alignment horizontal="center" vertical="center"/>
    </xf>
    <xf numFmtId="0" fontId="2" fillId="4" borderId="1" xfId="0" applyFont="1" applyFill="1" applyBorder="1" applyAlignment="1">
      <alignment horizontal="left" vertical="top"/>
    </xf>
    <xf numFmtId="0" fontId="2" fillId="4" borderId="1" xfId="0" applyFont="1" applyFill="1" applyBorder="1" applyAlignment="1">
      <alignment horizontal="center" vertical="center"/>
    </xf>
    <xf numFmtId="0" fontId="3" fillId="4" borderId="1" xfId="0" applyFont="1" applyFill="1" applyBorder="1" applyAlignment="1">
      <alignment horizontal="left" vertical="top"/>
    </xf>
    <xf numFmtId="0" fontId="3" fillId="0" borderId="1" xfId="0" applyFont="1" applyBorder="1" applyAlignment="1">
      <alignment horizontal="left" vertical="top" wrapText="1"/>
    </xf>
    <xf numFmtId="164" fontId="3" fillId="0" borderId="1" xfId="0" applyNumberFormat="1" applyFont="1" applyBorder="1" applyAlignment="1">
      <alignment horizontal="center" vertical="center"/>
    </xf>
    <xf numFmtId="3" fontId="3" fillId="0" borderId="1" xfId="0" applyNumberFormat="1" applyFont="1" applyBorder="1" applyAlignment="1">
      <alignment horizontal="center" vertical="center"/>
    </xf>
    <xf numFmtId="0" fontId="2" fillId="0" borderId="1" xfId="0" applyFont="1" applyBorder="1" applyAlignment="1">
      <alignment horizontal="center" vertical="center"/>
    </xf>
    <xf numFmtId="165" fontId="2" fillId="0" borderId="1" xfId="0" applyNumberFormat="1" applyFont="1" applyBorder="1" applyAlignment="1">
      <alignment horizontal="center" vertical="center"/>
    </xf>
    <xf numFmtId="0" fontId="2" fillId="0" borderId="1" xfId="0" applyFont="1" applyBorder="1" applyAlignment="1">
      <alignment horizontal="left" vertical="top"/>
    </xf>
    <xf numFmtId="0" fontId="4" fillId="3" borderId="1" xfId="0" applyFont="1" applyFill="1" applyBorder="1" applyAlignment="1">
      <alignment horizontal="center" vertical="center" wrapText="1"/>
    </xf>
    <xf numFmtId="2" fontId="3"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horizontal="center" vertical="center" wrapText="1"/>
    </xf>
    <xf numFmtId="0" fontId="6" fillId="0" borderId="0" xfId="0" applyFont="1"/>
    <xf numFmtId="0" fontId="2" fillId="0" borderId="1" xfId="0" applyFont="1" applyBorder="1" applyAlignment="1">
      <alignment horizontal="left" vertical="top" wrapText="1"/>
    </xf>
    <xf numFmtId="0" fontId="3" fillId="4" borderId="1" xfId="0" applyFont="1" applyFill="1" applyBorder="1" applyAlignment="1">
      <alignment horizontal="left" vertical="top"/>
    </xf>
    <xf numFmtId="0" fontId="0" fillId="0" borderId="3" xfId="0" applyBorder="1"/>
    <xf numFmtId="0" fontId="0" fillId="0" borderId="4" xfId="0" applyBorder="1"/>
    <xf numFmtId="0" fontId="3" fillId="0" borderId="1" xfId="0" applyFont="1" applyBorder="1" applyAlignment="1">
      <alignment horizontal="left" vertical="top"/>
    </xf>
    <xf numFmtId="0" fontId="1" fillId="2" borderId="1" xfId="0" applyFont="1" applyFill="1" applyBorder="1" applyAlignment="1">
      <alignment horizontal="center" vertical="center" wrapText="1"/>
    </xf>
    <xf numFmtId="0" fontId="2" fillId="4" borderId="1" xfId="0" applyFont="1" applyFill="1" applyBorder="1" applyAlignment="1">
      <alignment horizontal="left" vertical="top"/>
    </xf>
    <xf numFmtId="0" fontId="0" fillId="0" borderId="2" xfId="0" applyBorder="1"/>
  </cellXfs>
  <cellStyles count="1">
    <cellStyle name="Normal" xfId="0" builtinId="0"/>
  </cellStyles>
  <dxfs count="114">
    <dxf>
      <fill>
        <patternFill patternType="solid">
          <fgColor rgb="FFF4CCCC"/>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E7E6E6"/>
        </patternFill>
      </fill>
    </dxf>
    <dxf>
      <fill>
        <patternFill patternType="solid">
          <fgColor rgb="FFFFF2CC"/>
        </patternFill>
      </fill>
    </dxf>
    <dxf>
      <fill>
        <patternFill patternType="solid">
          <fgColor rgb="FFD9EAD3"/>
        </patternFill>
      </fill>
    </dxf>
    <dxf>
      <fill>
        <patternFill patternType="solid">
          <fgColor rgb="FFF4CCCC"/>
        </patternFill>
      </fill>
    </dxf>
    <dxf>
      <fill>
        <patternFill patternType="solid">
          <fgColor rgb="FFFFF2CC"/>
        </patternFill>
      </fill>
    </dxf>
    <dxf>
      <fill>
        <patternFill patternType="solid">
          <fgColor rgb="FFD9EAD3"/>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7E6E6"/>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7E6E6"/>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D9EAD3"/>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E7E6E6"/>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7E6E6"/>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7E6E6"/>
        </patternFill>
      </fill>
    </dxf>
    <dxf>
      <fill>
        <patternFill patternType="solid">
          <fgColor rgb="FFFCE4D6"/>
        </patternFill>
      </fill>
    </dxf>
    <dxf>
      <fill>
        <patternFill patternType="solid">
          <fgColor rgb="FFD9EAD3"/>
        </patternFill>
      </fill>
    </dxf>
    <dxf>
      <fill>
        <patternFill patternType="solid">
          <fgColor rgb="FFFCE4D6"/>
        </patternFill>
      </fill>
    </dxf>
    <dxf>
      <fill>
        <patternFill patternType="solid">
          <fgColor rgb="FFFFF2CC"/>
        </patternFill>
      </fill>
    </dxf>
    <dxf>
      <fill>
        <patternFill patternType="solid">
          <fgColor rgb="FFEA9999"/>
        </patternFill>
      </fill>
    </dxf>
    <dxf>
      <fill>
        <patternFill patternType="solid">
          <fgColor rgb="FFF4CCCC"/>
        </patternFill>
      </fill>
    </dxf>
    <dxf>
      <fill>
        <patternFill patternType="solid">
          <fgColor rgb="FFD9EAD3"/>
        </patternFill>
      </fill>
    </dxf>
    <dxf>
      <fill>
        <patternFill patternType="solid">
          <fgColor rgb="FFD9EAD3"/>
        </patternFill>
      </fill>
    </dxf>
    <dxf>
      <fill>
        <patternFill patternType="solid">
          <fgColor rgb="FFE7E6E6"/>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FFF2CC"/>
        </patternFill>
      </fill>
    </dxf>
    <dxf>
      <fill>
        <patternFill patternType="solid">
          <fgColor rgb="FFD9EAD3"/>
        </patternFill>
      </fill>
    </dxf>
    <dxf>
      <fill>
        <patternFill patternType="solid">
          <fgColor rgb="FFE7E6E6"/>
        </patternFill>
      </fill>
    </dxf>
    <dxf>
      <fill>
        <patternFill patternType="solid">
          <fgColor rgb="FFF4CCCC"/>
        </patternFill>
      </fill>
    </dxf>
    <dxf>
      <fill>
        <patternFill patternType="solid">
          <fgColor rgb="FFF4CCCC"/>
        </patternFill>
      </fill>
    </dxf>
    <dxf>
      <fill>
        <patternFill patternType="solid">
          <fgColor rgb="FFFCE4D6"/>
        </patternFill>
      </fill>
    </dxf>
    <dxf>
      <fill>
        <patternFill patternType="solid">
          <fgColor rgb="FFFFF2CC"/>
        </patternFill>
      </fill>
    </dxf>
    <dxf>
      <fill>
        <patternFill patternType="solid">
          <fgColor rgb="FFD9EAD3"/>
        </patternFill>
      </fill>
    </dxf>
    <dxf>
      <fill>
        <patternFill patternType="solid">
          <fgColor rgb="FFE7E6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6"/>
  <sheetViews>
    <sheetView showGridLines="0" tabSelected="1" workbookViewId="0"/>
  </sheetViews>
  <sheetFormatPr defaultRowHeight="15" x14ac:dyDescent="0.25"/>
  <cols>
    <col min="1" max="1" width="46" customWidth="1"/>
    <col min="2" max="2" width="14" customWidth="1"/>
    <col min="3" max="9" width="12" customWidth="1"/>
    <col min="10" max="10" width="14" customWidth="1"/>
  </cols>
  <sheetData>
    <row r="1" spans="1:8" ht="20.25" x14ac:dyDescent="0.3">
      <c r="A1" s="1" t="s">
        <v>0</v>
      </c>
    </row>
    <row r="2" spans="1:8" x14ac:dyDescent="0.25">
      <c r="A2" s="2" t="s">
        <v>1</v>
      </c>
    </row>
    <row r="3" spans="1:8" x14ac:dyDescent="0.25">
      <c r="A3" s="3" t="s">
        <v>2</v>
      </c>
    </row>
    <row r="5" spans="1:8" ht="15.75" x14ac:dyDescent="0.25">
      <c r="A5" s="4" t="s">
        <v>3</v>
      </c>
    </row>
    <row r="6" spans="1:8" x14ac:dyDescent="0.25">
      <c r="A6" s="5" t="s">
        <v>4</v>
      </c>
    </row>
    <row r="7" spans="1:8" x14ac:dyDescent="0.25">
      <c r="A7" s="5" t="s">
        <v>5</v>
      </c>
    </row>
    <row r="8" spans="1:8" x14ac:dyDescent="0.25">
      <c r="A8" s="5" t="s">
        <v>6</v>
      </c>
    </row>
    <row r="9" spans="1:8" x14ac:dyDescent="0.25">
      <c r="A9" s="5" t="s">
        <v>7</v>
      </c>
    </row>
    <row r="10" spans="1:8" x14ac:dyDescent="0.25">
      <c r="A10" s="5" t="s">
        <v>8</v>
      </c>
    </row>
    <row r="12" spans="1:8" ht="15.75" x14ac:dyDescent="0.25">
      <c r="A12" s="4" t="s">
        <v>9</v>
      </c>
    </row>
    <row r="13" spans="1:8" x14ac:dyDescent="0.25">
      <c r="A13" s="6" t="s">
        <v>10</v>
      </c>
      <c r="B13" s="6" t="s">
        <v>11</v>
      </c>
      <c r="C13" s="6" t="s">
        <v>12</v>
      </c>
      <c r="D13" s="6" t="s">
        <v>13</v>
      </c>
      <c r="E13" s="6" t="s">
        <v>14</v>
      </c>
      <c r="F13" s="30" t="s">
        <v>15</v>
      </c>
      <c r="G13" s="27"/>
      <c r="H13" s="28"/>
    </row>
    <row r="14" spans="1:8" x14ac:dyDescent="0.25">
      <c r="A14" s="7" t="s">
        <v>16</v>
      </c>
      <c r="B14" s="8">
        <f>COUNTIF('Test Seti'!$B$2:$B$105,$A14)</f>
        <v>43</v>
      </c>
      <c r="C14" s="8">
        <f>COUNTIFS('Test Seti'!$B$2:$B$105,$A14,'Test Seti'!$C$2:$C$105,"Kolay")</f>
        <v>11</v>
      </c>
      <c r="D14" s="8">
        <f>COUNTIFS('Test Seti'!$B$2:$B$105,$A14,'Test Seti'!$C$2:$C$105,"Orta")</f>
        <v>21</v>
      </c>
      <c r="E14" s="8">
        <f>COUNTIFS('Test Seti'!$B$2:$B$105,$A14,'Test Seti'!$C$2:$C$105,"Zor")</f>
        <v>11</v>
      </c>
      <c r="F14" s="29" t="s">
        <v>17</v>
      </c>
      <c r="G14" s="27"/>
      <c r="H14" s="28"/>
    </row>
    <row r="15" spans="1:8" x14ac:dyDescent="0.25">
      <c r="A15" s="7" t="s">
        <v>18</v>
      </c>
      <c r="B15" s="8">
        <f>COUNTIF('Test Seti'!$B$2:$B$105,$A15)</f>
        <v>16</v>
      </c>
      <c r="C15" s="8">
        <f>COUNTIFS('Test Seti'!$B$2:$B$105,$A15,'Test Seti'!$C$2:$C$105,"Kolay")</f>
        <v>1</v>
      </c>
      <c r="D15" s="8">
        <f>COUNTIFS('Test Seti'!$B$2:$B$105,$A15,'Test Seti'!$C$2:$C$105,"Orta")</f>
        <v>8</v>
      </c>
      <c r="E15" s="8">
        <f>COUNTIFS('Test Seti'!$B$2:$B$105,$A15,'Test Seti'!$C$2:$C$105,"Zor")</f>
        <v>7</v>
      </c>
      <c r="F15" s="29" t="s">
        <v>17</v>
      </c>
      <c r="G15" s="27"/>
      <c r="H15" s="28"/>
    </row>
    <row r="16" spans="1:8" x14ac:dyDescent="0.25">
      <c r="A16" s="7" t="s">
        <v>19</v>
      </c>
      <c r="B16" s="8">
        <f>COUNTIF('Test Seti'!$B$2:$B$105,$A16)</f>
        <v>10</v>
      </c>
      <c r="C16" s="8">
        <f>COUNTIFS('Test Seti'!$B$2:$B$105,$A16,'Test Seti'!$C$2:$C$105,"Kolay")</f>
        <v>1</v>
      </c>
      <c r="D16" s="8">
        <f>COUNTIFS('Test Seti'!$B$2:$B$105,$A16,'Test Seti'!$C$2:$C$105,"Orta")</f>
        <v>7</v>
      </c>
      <c r="E16" s="8">
        <f>COUNTIFS('Test Seti'!$B$2:$B$105,$A16,'Test Seti'!$C$2:$C$105,"Zor")</f>
        <v>2</v>
      </c>
      <c r="F16" s="29" t="s">
        <v>17</v>
      </c>
      <c r="G16" s="27"/>
      <c r="H16" s="28"/>
    </row>
    <row r="17" spans="1:9" x14ac:dyDescent="0.25">
      <c r="A17" s="7" t="s">
        <v>20</v>
      </c>
      <c r="B17" s="8">
        <f>COUNTIF('Test Seti'!$B$2:$B$105,$A17)</f>
        <v>10</v>
      </c>
      <c r="C17" s="8">
        <f>COUNTIFS('Test Seti'!$B$2:$B$105,$A17,'Test Seti'!$C$2:$C$105,"Kolay")</f>
        <v>2</v>
      </c>
      <c r="D17" s="8">
        <f>COUNTIFS('Test Seti'!$B$2:$B$105,$A17,'Test Seti'!$C$2:$C$105,"Orta")</f>
        <v>6</v>
      </c>
      <c r="E17" s="8">
        <f>COUNTIFS('Test Seti'!$B$2:$B$105,$A17,'Test Seti'!$C$2:$C$105,"Zor")</f>
        <v>2</v>
      </c>
      <c r="F17" s="29" t="s">
        <v>17</v>
      </c>
      <c r="G17" s="27"/>
      <c r="H17" s="28"/>
    </row>
    <row r="18" spans="1:9" x14ac:dyDescent="0.25">
      <c r="A18" s="7" t="s">
        <v>21</v>
      </c>
      <c r="B18" s="8">
        <f>COUNTIF('Test Seti'!$B$2:$B$105,$A18)</f>
        <v>15</v>
      </c>
      <c r="C18" s="8">
        <f>COUNTIFS('Test Seti'!$B$2:$B$105,$A18,'Test Seti'!$C$2:$C$105,"Kolay")</f>
        <v>3</v>
      </c>
      <c r="D18" s="8">
        <f>COUNTIFS('Test Seti'!$B$2:$B$105,$A18,'Test Seti'!$C$2:$C$105,"Orta")</f>
        <v>10</v>
      </c>
      <c r="E18" s="8">
        <f>COUNTIFS('Test Seti'!$B$2:$B$105,$A18,'Test Seti'!$C$2:$C$105,"Zor")</f>
        <v>2</v>
      </c>
      <c r="F18" s="29" t="s">
        <v>22</v>
      </c>
      <c r="G18" s="27"/>
      <c r="H18" s="28"/>
    </row>
    <row r="19" spans="1:9" x14ac:dyDescent="0.25">
      <c r="A19" s="7" t="s">
        <v>23</v>
      </c>
      <c r="B19" s="8">
        <f>COUNTIF('Test Seti'!$B$2:$B$105,$A19)</f>
        <v>10</v>
      </c>
      <c r="C19" s="8">
        <f>COUNTIFS('Test Seti'!$B$2:$B$105,$A19,'Test Seti'!$C$2:$C$105,"Kolay")</f>
        <v>4</v>
      </c>
      <c r="D19" s="8">
        <f>COUNTIFS('Test Seti'!$B$2:$B$105,$A19,'Test Seti'!$C$2:$C$105,"Orta")</f>
        <v>4</v>
      </c>
      <c r="E19" s="8">
        <f>COUNTIFS('Test Seti'!$B$2:$B$105,$A19,'Test Seti'!$C$2:$C$105,"Zor")</f>
        <v>2</v>
      </c>
      <c r="F19" s="29" t="s">
        <v>24</v>
      </c>
      <c r="G19" s="27"/>
      <c r="H19" s="28"/>
    </row>
    <row r="20" spans="1:9" x14ac:dyDescent="0.25">
      <c r="A20" s="9" t="s">
        <v>25</v>
      </c>
      <c r="B20" s="10">
        <f>SUM(B14:B19)</f>
        <v>104</v>
      </c>
      <c r="C20" s="10">
        <f>SUM(C14:C19)</f>
        <v>22</v>
      </c>
      <c r="D20" s="10">
        <f>SUM(D14:D19)</f>
        <v>56</v>
      </c>
      <c r="E20" s="10">
        <f>SUM(E14:E19)</f>
        <v>26</v>
      </c>
      <c r="F20" s="26" t="str">
        <f>COUNTIF('Test Seti'!$K$2:$K$105,"Doğrulandı")&amp;" / "&amp;B20&amp;" insan incelemesinden geçti"</f>
        <v>0 / 104 insan incelemesinden geçti</v>
      </c>
      <c r="G20" s="27"/>
      <c r="H20" s="28"/>
    </row>
    <row r="23" spans="1:9" ht="15.75" x14ac:dyDescent="0.25">
      <c r="A23" s="4" t="s">
        <v>26</v>
      </c>
    </row>
    <row r="24" spans="1:9" ht="25.5" x14ac:dyDescent="0.25">
      <c r="A24" s="6" t="s">
        <v>27</v>
      </c>
      <c r="B24" s="6" t="s">
        <v>28</v>
      </c>
      <c r="C24" s="6" t="s">
        <v>29</v>
      </c>
      <c r="D24" s="6" t="s">
        <v>30</v>
      </c>
      <c r="E24" s="6" t="s">
        <v>31</v>
      </c>
      <c r="F24" s="6" t="s">
        <v>32</v>
      </c>
      <c r="G24" s="6" t="s">
        <v>33</v>
      </c>
      <c r="H24" s="6" t="s">
        <v>34</v>
      </c>
      <c r="I24" s="6" t="s">
        <v>35</v>
      </c>
    </row>
    <row r="25" spans="1:9" x14ac:dyDescent="0.25">
      <c r="A25" s="12" t="s">
        <v>36</v>
      </c>
      <c r="B25" s="13">
        <f>'Arama Sonuçları'!F108</f>
        <v>0.28354978354978361</v>
      </c>
      <c r="C25" s="13">
        <f>'Arama Sonuçları'!G108</f>
        <v>0.35497835497835495</v>
      </c>
      <c r="D25" s="13">
        <f>'Arama Sonuçları'!H108</f>
        <v>0.24108915542466622</v>
      </c>
      <c r="E25" s="8">
        <f>COUNTIF('Arama Sonuçları'!$E$3:$E$106,1)</f>
        <v>11</v>
      </c>
      <c r="F25" s="8">
        <f>COUNTIFS('Arama Sonuçları'!$E$3:$E$106,"&gt;=2",'Arama Sonuçları'!$E$3:$E$106,"&lt;=5")</f>
        <v>16</v>
      </c>
      <c r="G25" s="8">
        <f>COUNTIFS('Arama Sonuçları'!$E$3:$E$106,"&gt;=6",'Arama Sonuçları'!$E$3:$E$106,"&lt;=30")</f>
        <v>21</v>
      </c>
      <c r="H25" s="8">
        <f>COUNTIF('Arama Sonuçları'!$E$3:$E$106,"—")</f>
        <v>29</v>
      </c>
      <c r="I25" s="8">
        <f>'Arama Sonuçları'!E109</f>
        <v>77</v>
      </c>
    </row>
    <row r="26" spans="1:9" x14ac:dyDescent="0.25">
      <c r="A26" s="12" t="s">
        <v>37</v>
      </c>
      <c r="B26" s="13">
        <f>'Arama Sonuçları'!J108</f>
        <v>0.48701298701298701</v>
      </c>
      <c r="C26" s="13">
        <f>'Arama Sonuçları'!K108</f>
        <v>0.51298701298701299</v>
      </c>
      <c r="D26" s="13">
        <f>'Arama Sonuçları'!L108</f>
        <v>0.40125513015123399</v>
      </c>
      <c r="E26" s="8">
        <f>COUNTIF('Arama Sonuçları'!$I$3:$I$106,1)</f>
        <v>24</v>
      </c>
      <c r="F26" s="8">
        <f>COUNTIFS('Arama Sonuçları'!$I$3:$I$106,"&gt;=2",'Arama Sonuçları'!$I$3:$I$106,"&lt;=5")</f>
        <v>19</v>
      </c>
      <c r="G26" s="8">
        <f>COUNTIFS('Arama Sonuçları'!$I$3:$I$106,"&gt;=6",'Arama Sonuçları'!$I$3:$I$106,"&lt;=30")</f>
        <v>5</v>
      </c>
      <c r="H26" s="8">
        <f>COUNTIF('Arama Sonuçları'!$I$3:$I$106,"—")</f>
        <v>29</v>
      </c>
      <c r="I26" s="8">
        <f>'Arama Sonuçları'!I109</f>
        <v>77</v>
      </c>
    </row>
    <row r="27" spans="1:9" ht="25.5" x14ac:dyDescent="0.25">
      <c r="A27" s="12" t="s">
        <v>38</v>
      </c>
      <c r="B27" s="13">
        <f>'Arama Sonuçları'!N108</f>
        <v>0.43939393939393934</v>
      </c>
      <c r="C27" s="13">
        <f>'Arama Sonuçları'!O108</f>
        <v>0.55411255411255411</v>
      </c>
      <c r="D27" s="13">
        <f>'Arama Sonuçları'!P108</f>
        <v>0.41898959484902948</v>
      </c>
      <c r="E27" s="8">
        <f>COUNTIF('Arama Sonuçları'!$M$3:$M$106,1)</f>
        <v>25</v>
      </c>
      <c r="F27" s="8">
        <f>COUNTIFS('Arama Sonuçları'!$M$3:$M$106,"&gt;=2",'Arama Sonuçları'!$M$3:$M$106,"&lt;=5")</f>
        <v>14</v>
      </c>
      <c r="G27" s="8">
        <f>COUNTIFS('Arama Sonuçları'!$M$3:$M$106,"&gt;=6",'Arama Sonuçları'!$M$3:$M$106,"&lt;=30")</f>
        <v>26</v>
      </c>
      <c r="H27" s="8">
        <f>COUNTIF('Arama Sonuçları'!$M$3:$M$106,"—")</f>
        <v>12</v>
      </c>
      <c r="I27" s="8">
        <f>'Arama Sonuçları'!M109</f>
        <v>77</v>
      </c>
    </row>
    <row r="28" spans="1:9" ht="25.5" x14ac:dyDescent="0.25">
      <c r="A28" s="12" t="s">
        <v>39</v>
      </c>
      <c r="B28" s="13">
        <f>'Arama Sonuçları'!R108</f>
        <v>0.54329004329004327</v>
      </c>
      <c r="C28" s="13">
        <f>'Arama Sonuçları'!S108</f>
        <v>0.61688311688311692</v>
      </c>
      <c r="D28" s="13">
        <f>'Arama Sonuçları'!T108</f>
        <v>0.47705431512397883</v>
      </c>
      <c r="E28" s="8">
        <f>COUNTIF('Arama Sonuçları'!$Q$3:$Q$106,1)</f>
        <v>28</v>
      </c>
      <c r="F28" s="8">
        <f>COUNTIFS('Arama Sonuçları'!$Q$3:$Q$106,"&gt;=2",'Arama Sonuçları'!$Q$3:$Q$106,"&lt;=5")</f>
        <v>21</v>
      </c>
      <c r="G28" s="8">
        <f>COUNTIFS('Arama Sonuçları'!$Q$3:$Q$106,"&gt;=6",'Arama Sonuçları'!$Q$3:$Q$106,"&lt;=30")</f>
        <v>16</v>
      </c>
      <c r="H28" s="8">
        <f>COUNTIF('Arama Sonuçları'!$Q$3:$Q$106,"—")</f>
        <v>12</v>
      </c>
      <c r="I28" s="8">
        <f>'Arama Sonuçları'!Q109</f>
        <v>77</v>
      </c>
    </row>
    <row r="29" spans="1:9" ht="25.5" x14ac:dyDescent="0.25">
      <c r="A29" s="12" t="s">
        <v>40</v>
      </c>
      <c r="B29" s="13">
        <f>'Arama Sonuçları'!V108</f>
        <v>0.69913419913419916</v>
      </c>
      <c r="C29" s="13">
        <f>'Arama Sonuçları'!W108</f>
        <v>0.75108225108225113</v>
      </c>
      <c r="D29" s="13">
        <f>'Arama Sonuçları'!X108</f>
        <v>0.61247212383576044</v>
      </c>
      <c r="E29" s="8">
        <f>COUNTIF('Arama Sonuçları'!$U$3:$U$106,1)</f>
        <v>38</v>
      </c>
      <c r="F29" s="8">
        <f>COUNTIFS('Arama Sonuçları'!$U$3:$U$106,"&gt;=2",'Arama Sonuçları'!$U$3:$U$106,"&lt;=5")</f>
        <v>22</v>
      </c>
      <c r="G29" s="8">
        <f>COUNTIFS('Arama Sonuçları'!$U$3:$U$106,"&gt;=6",'Arama Sonuçları'!$U$3:$U$106,"&lt;=30")</f>
        <v>5</v>
      </c>
      <c r="H29" s="8">
        <f>COUNTIF('Arama Sonuçları'!$U$3:$U$106,"—")</f>
        <v>12</v>
      </c>
      <c r="I29" s="8">
        <f>'Arama Sonuçları'!U109</f>
        <v>77</v>
      </c>
    </row>
    <row r="30" spans="1:9" x14ac:dyDescent="0.25">
      <c r="A30" s="12" t="s">
        <v>41</v>
      </c>
      <c r="B30" s="13">
        <f>'Arama Sonuçları'!Z108</f>
        <v>0.72727272727272729</v>
      </c>
      <c r="C30" s="13">
        <f>'Arama Sonuçları'!AA108</f>
        <v>0.78354978354978355</v>
      </c>
      <c r="D30" s="13">
        <f>'Arama Sonuçları'!AB108</f>
        <v>0.62273276240667552</v>
      </c>
      <c r="E30" s="8">
        <f>COUNTIF('Arama Sonuçları'!$Y$3:$Y$106,1)</f>
        <v>38</v>
      </c>
      <c r="F30" s="8">
        <f>COUNTIFS('Arama Sonuçları'!$Y$3:$Y$106,"&gt;=2",'Arama Sonuçları'!$Y$3:$Y$106,"&lt;=5")</f>
        <v>24</v>
      </c>
      <c r="G30" s="8">
        <f>COUNTIFS('Arama Sonuçları'!$Y$3:$Y$106,"&gt;=6",'Arama Sonuçları'!$Y$3:$Y$106,"&lt;=30")</f>
        <v>7</v>
      </c>
      <c r="H30" s="8">
        <f>COUNTIF('Arama Sonuçları'!$Y$3:$Y$106,"—")</f>
        <v>8</v>
      </c>
      <c r="I30" s="8">
        <f>'Arama Sonuçları'!Y109</f>
        <v>77</v>
      </c>
    </row>
    <row r="32" spans="1:9" ht="15.75" x14ac:dyDescent="0.25">
      <c r="A32" s="4" t="s">
        <v>42</v>
      </c>
    </row>
    <row r="33" spans="1:9" x14ac:dyDescent="0.25">
      <c r="A33" s="6" t="s">
        <v>10</v>
      </c>
      <c r="B33" s="6" t="s">
        <v>43</v>
      </c>
      <c r="C33" s="6" t="s">
        <v>44</v>
      </c>
      <c r="D33" s="6" t="s">
        <v>45</v>
      </c>
      <c r="E33" s="6" t="s">
        <v>46</v>
      </c>
      <c r="F33" s="6" t="s">
        <v>47</v>
      </c>
      <c r="G33" s="6" t="s">
        <v>48</v>
      </c>
    </row>
    <row r="34" spans="1:9" x14ac:dyDescent="0.25">
      <c r="A34" s="7" t="s">
        <v>16</v>
      </c>
      <c r="B34" s="13">
        <f>IFERROR(AVERAGEIFS('Arama Sonuçları'!$F$3:$F$106,'Arama Sonuçları'!$B$3:$B$106,$A34),0)</f>
        <v>0.35714285714285715</v>
      </c>
      <c r="C34" s="13">
        <f>IFERROR(AVERAGEIFS('Arama Sonuçları'!$J$3:$J$106,'Arama Sonuçları'!$B$3:$B$106,$A34),0)</f>
        <v>0.59523809523809523</v>
      </c>
      <c r="D34" s="13">
        <f>IFERROR(AVERAGEIFS('Arama Sonuçları'!$N$3:$N$106,'Arama Sonuçları'!$B$3:$B$106,$A34),0)</f>
        <v>0.59523809523809523</v>
      </c>
      <c r="E34" s="13">
        <f>IFERROR(AVERAGEIFS('Arama Sonuçları'!$R$3:$R$106,'Arama Sonuçları'!$B$3:$B$106,$A34),0)</f>
        <v>0.6785714285714286</v>
      </c>
      <c r="F34" s="13">
        <f>IFERROR(AVERAGEIFS('Arama Sonuçları'!$V$3:$V$106,'Arama Sonuçları'!$B$3:$B$106,$A34),0)</f>
        <v>0.83333333333333337</v>
      </c>
      <c r="G34" s="13">
        <f>IFERROR(AVERAGEIFS('Arama Sonuçları'!$Z$3:$Z$106,'Arama Sonuçları'!$B$3:$B$106,$A34),0)</f>
        <v>0.88095238095238093</v>
      </c>
    </row>
    <row r="35" spans="1:9" x14ac:dyDescent="0.25">
      <c r="A35" s="7" t="s">
        <v>18</v>
      </c>
      <c r="B35" s="13">
        <f>IFERROR(AVERAGEIFS('Arama Sonuçları'!$F$3:$F$106,'Arama Sonuçları'!$B$3:$B$106,$A35),0)</f>
        <v>0.23958333333333334</v>
      </c>
      <c r="C35" s="13">
        <f>IFERROR(AVERAGEIFS('Arama Sonuçları'!$J$3:$J$106,'Arama Sonuçları'!$B$3:$B$106,$A35),0)</f>
        <v>0.46875</v>
      </c>
      <c r="D35" s="13">
        <f>IFERROR(AVERAGEIFS('Arama Sonuçları'!$N$3:$N$106,'Arama Sonuçları'!$B$3:$B$106,$A35),0)</f>
        <v>0.23958333333333334</v>
      </c>
      <c r="E35" s="13">
        <f>IFERROR(AVERAGEIFS('Arama Sonuçları'!$R$3:$R$106,'Arama Sonuçları'!$B$3:$B$106,$A35),0)</f>
        <v>0.45833333333333331</v>
      </c>
      <c r="F35" s="13">
        <f>IFERROR(AVERAGEIFS('Arama Sonuçları'!$V$3:$V$106,'Arama Sonuçları'!$B$3:$B$106,$A35),0)</f>
        <v>0.625</v>
      </c>
      <c r="G35" s="13">
        <f>IFERROR(AVERAGEIFS('Arama Sonuçları'!$Z$3:$Z$106,'Arama Sonuçları'!$B$3:$B$106,$A35),0)</f>
        <v>0.625</v>
      </c>
    </row>
    <row r="36" spans="1:9" x14ac:dyDescent="0.25">
      <c r="A36" s="7" t="s">
        <v>19</v>
      </c>
      <c r="B36" s="13">
        <f>IFERROR(AVERAGEIFS('Arama Sonuçları'!$F$3:$F$106,'Arama Sonuçları'!$B$3:$B$106,$A36),0)</f>
        <v>0.2</v>
      </c>
      <c r="C36" s="13">
        <f>IFERROR(AVERAGEIFS('Arama Sonuçları'!$J$3:$J$106,'Arama Sonuçları'!$B$3:$B$106,$A36),0)</f>
        <v>0.4</v>
      </c>
      <c r="D36" s="13">
        <f>IFERROR(AVERAGEIFS('Arama Sonuçları'!$N$3:$N$106,'Arama Sonuçları'!$B$3:$B$106,$A36),0)</f>
        <v>0.5</v>
      </c>
      <c r="E36" s="13">
        <f>IFERROR(AVERAGEIFS('Arama Sonuçları'!$R$3:$R$106,'Arama Sonuçları'!$B$3:$B$106,$A36),0)</f>
        <v>0.6</v>
      </c>
      <c r="F36" s="13">
        <f>IFERROR(AVERAGEIFS('Arama Sonuçları'!$V$3:$V$106,'Arama Sonuçları'!$B$3:$B$106,$A36),0)</f>
        <v>0.8</v>
      </c>
      <c r="G36" s="13">
        <f>IFERROR(AVERAGEIFS('Arama Sonuçları'!$Z$3:$Z$106,'Arama Sonuçları'!$B$3:$B$106,$A36),0)</f>
        <v>0.8</v>
      </c>
    </row>
    <row r="37" spans="1:9" x14ac:dyDescent="0.25">
      <c r="A37" s="7" t="s">
        <v>20</v>
      </c>
      <c r="B37" s="13">
        <f>IFERROR(AVERAGEIFS('Arama Sonuçları'!$F$3:$F$106,'Arama Sonuçları'!$B$3:$B$106,$A37),0)</f>
        <v>0.1111111111111111</v>
      </c>
      <c r="C37" s="13">
        <f>IFERROR(AVERAGEIFS('Arama Sonuçları'!$J$3:$J$106,'Arama Sonuçları'!$B$3:$B$106,$A37),0)</f>
        <v>0.1111111111111111</v>
      </c>
      <c r="D37" s="13">
        <f>IFERROR(AVERAGEIFS('Arama Sonuçları'!$N$3:$N$106,'Arama Sonuçları'!$B$3:$B$106,$A37),0)</f>
        <v>0</v>
      </c>
      <c r="E37" s="13">
        <f>IFERROR(AVERAGEIFS('Arama Sonuçları'!$R$3:$R$106,'Arama Sonuçları'!$B$3:$B$106,$A37),0)</f>
        <v>0</v>
      </c>
      <c r="F37" s="13">
        <f>IFERROR(AVERAGEIFS('Arama Sonuçları'!$V$3:$V$106,'Arama Sonuçları'!$B$3:$B$106,$A37),0)</f>
        <v>9.2592592592592587E-2</v>
      </c>
      <c r="G37" s="13">
        <f>IFERROR(AVERAGEIFS('Arama Sonuçları'!$Z$3:$Z$106,'Arama Sonuçları'!$B$3:$B$106,$A37),0)</f>
        <v>0.1111111111111111</v>
      </c>
    </row>
    <row r="39" spans="1:9" ht="15.75" x14ac:dyDescent="0.25">
      <c r="A39" s="4" t="s">
        <v>49</v>
      </c>
    </row>
    <row r="40" spans="1:9" ht="25.5" x14ac:dyDescent="0.25">
      <c r="A40" s="6" t="s">
        <v>27</v>
      </c>
      <c r="B40" s="6" t="s">
        <v>50</v>
      </c>
      <c r="C40" s="6" t="s">
        <v>51</v>
      </c>
      <c r="D40" s="6" t="s">
        <v>52</v>
      </c>
      <c r="E40" s="6" t="s">
        <v>53</v>
      </c>
      <c r="F40" s="6" t="s">
        <v>54</v>
      </c>
      <c r="G40" s="6" t="s">
        <v>55</v>
      </c>
      <c r="H40" s="6" t="s">
        <v>56</v>
      </c>
      <c r="I40" s="6" t="s">
        <v>57</v>
      </c>
    </row>
    <row r="41" spans="1:9" x14ac:dyDescent="0.25">
      <c r="A41" s="12" t="s">
        <v>36</v>
      </c>
      <c r="B41" s="8">
        <f>COUNTIF('Cevap Sonuçları'!$F$3:$F$106,"Doğru cevap")</f>
        <v>30</v>
      </c>
      <c r="C41" s="13">
        <f>B41/COUNTIF('Cevap Sonuçları'!$D$3:$D$106,"Cevap")</f>
        <v>0.379746835443038</v>
      </c>
      <c r="D41" s="13">
        <f>COUNTIF('Cevap Sonuçları'!$G$3:$G$106,"Evet")/(COUNTIF('Cevap Sonuçları'!$G$3:$G$106,"Evet")+COUNTIF('Cevap Sonuçları'!$G$3:$G$106,"Hayır"))</f>
        <v>0.532258064516129</v>
      </c>
      <c r="E41" s="13">
        <f>COUNTIF('Cevap Sonuçları'!$F$3:$F$106,"Doğru ret")/COUNTIF('Cevap Sonuçları'!$D$3:$D$106,"Ret*")</f>
        <v>0.76</v>
      </c>
      <c r="F41" s="8">
        <f>COUNTIF('Cevap Sonuçları'!$F$3:$F$106,"Gereksiz ret*")</f>
        <v>6</v>
      </c>
      <c r="G41" s="13">
        <f>F41/COUNTIF('Cevap Sonuçları'!$D$3:$D$106,"Cevap")</f>
        <v>7.5949367088607597E-2</v>
      </c>
      <c r="H41" s="8">
        <f>COUNTIF('Cevap Sonuçları'!$F$3:$F$106,"Uydurma")</f>
        <v>6</v>
      </c>
      <c r="I41" s="14">
        <v>1370</v>
      </c>
    </row>
    <row r="42" spans="1:9" x14ac:dyDescent="0.25">
      <c r="A42" s="12" t="s">
        <v>37</v>
      </c>
      <c r="B42" s="8">
        <f>COUNTIF('Cevap Sonuçları'!$J$3:$J$106,"Doğru cevap")</f>
        <v>44</v>
      </c>
      <c r="C42" s="13">
        <f>B42/COUNTIF('Cevap Sonuçları'!$D$3:$D$106,"Cevap")</f>
        <v>0.55696202531645567</v>
      </c>
      <c r="D42" s="13">
        <f>COUNTIF('Cevap Sonuçları'!$K$3:$K$106,"Evet")/(COUNTIF('Cevap Sonuçları'!$K$3:$K$106,"Evet")+COUNTIF('Cevap Sonuçları'!$K$3:$K$106,"Hayır"))</f>
        <v>0.5535714285714286</v>
      </c>
      <c r="E42" s="13">
        <f>COUNTIF('Cevap Sonuçları'!$J$3:$J$106,"Doğru ret")/COUNTIF('Cevap Sonuçları'!$D$3:$D$106,"Ret*")</f>
        <v>0.68</v>
      </c>
      <c r="F42" s="8">
        <f>COUNTIF('Cevap Sonuçları'!$J$3:$J$106,"Gereksiz ret*")</f>
        <v>4</v>
      </c>
      <c r="G42" s="13">
        <f>F42/COUNTIF('Cevap Sonuçları'!$D$3:$D$106,"Cevap")</f>
        <v>5.0632911392405063E-2</v>
      </c>
      <c r="H42" s="8">
        <f>COUNTIF('Cevap Sonuçları'!$J$3:$J$106,"Uydurma")</f>
        <v>8</v>
      </c>
      <c r="I42" s="14">
        <v>2076</v>
      </c>
    </row>
    <row r="43" spans="1:9" ht="25.5" x14ac:dyDescent="0.25">
      <c r="A43" s="12" t="s">
        <v>38</v>
      </c>
      <c r="B43" s="8">
        <f>COUNTIF('Cevap Sonuçları'!$N$3:$N$106,"Doğru cevap")</f>
        <v>33</v>
      </c>
      <c r="C43" s="13">
        <f>B43/COUNTIF('Cevap Sonuçları'!$D$3:$D$106,"Cevap")</f>
        <v>0.41772151898734178</v>
      </c>
      <c r="D43" s="13">
        <f>COUNTIF('Cevap Sonuçları'!$O$3:$O$106,"Evet")/(COUNTIF('Cevap Sonuçları'!$O$3:$O$106,"Evet")+COUNTIF('Cevap Sonuçları'!$O$3:$O$106,"Hayır"))</f>
        <v>0.57377049180327866</v>
      </c>
      <c r="E43" s="13">
        <f>COUNTIF('Cevap Sonuçları'!$N$3:$N$106,"Doğru ret")/COUNTIF('Cevap Sonuçları'!$D$3:$D$106,"Ret*")</f>
        <v>0.84</v>
      </c>
      <c r="F43" s="8">
        <f>COUNTIF('Cevap Sonuçları'!$N$3:$N$106,"Gereksiz ret*")</f>
        <v>9</v>
      </c>
      <c r="G43" s="13">
        <f>F43/COUNTIF('Cevap Sonuçları'!$D$3:$D$106,"Cevap")</f>
        <v>0.11392405063291139</v>
      </c>
      <c r="H43" s="8">
        <f>COUNTIF('Cevap Sonuçları'!$N$3:$N$106,"Uydurma")</f>
        <v>4</v>
      </c>
      <c r="I43" s="14">
        <v>1105</v>
      </c>
    </row>
    <row r="44" spans="1:9" ht="25.5" x14ac:dyDescent="0.25">
      <c r="A44" s="12" t="s">
        <v>39</v>
      </c>
      <c r="B44" s="8">
        <f>COUNTIF('Cevap Sonuçları'!$R$3:$R$106,"Doğru cevap")</f>
        <v>41</v>
      </c>
      <c r="C44" s="13">
        <f>B44/COUNTIF('Cevap Sonuçları'!$D$3:$D$106,"Cevap")</f>
        <v>0.51898734177215189</v>
      </c>
      <c r="D44" s="13">
        <f>COUNTIF('Cevap Sonuçları'!$S$3:$S$106,"Evet")/(COUNTIF('Cevap Sonuçları'!$S$3:$S$106,"Evet")+COUNTIF('Cevap Sonuçları'!$S$3:$S$106,"Hayır"))</f>
        <v>0.69565217391304346</v>
      </c>
      <c r="E44" s="13">
        <f>COUNTIF('Cevap Sonuçları'!$R$3:$R$106,"Doğru ret")/COUNTIF('Cevap Sonuçları'!$D$3:$D$106,"Ret*")</f>
        <v>0.76</v>
      </c>
      <c r="F44" s="8">
        <f>COUNTIF('Cevap Sonuçları'!$R$3:$R$106,"Gereksiz ret*")</f>
        <v>6</v>
      </c>
      <c r="G44" s="13">
        <f>F44/COUNTIF('Cevap Sonuçları'!$D$3:$D$106,"Cevap")</f>
        <v>7.5949367088607597E-2</v>
      </c>
      <c r="H44" s="8">
        <f>COUNTIF('Cevap Sonuçları'!$R$3:$R$106,"Uydurma")</f>
        <v>6</v>
      </c>
      <c r="I44" s="14">
        <v>1126</v>
      </c>
    </row>
    <row r="45" spans="1:9" ht="25.5" x14ac:dyDescent="0.25">
      <c r="A45" s="12" t="s">
        <v>40</v>
      </c>
      <c r="B45" s="8">
        <f>COUNTIF('Cevap Sonuçları'!$V$3:$V$106,"Doğru cevap")</f>
        <v>50</v>
      </c>
      <c r="C45" s="13">
        <f>B45/COUNTIF('Cevap Sonuçları'!$D$3:$D$106,"Cevap")</f>
        <v>0.63291139240506333</v>
      </c>
      <c r="D45" s="13">
        <f>COUNTIF('Cevap Sonuçları'!$W$3:$W$106,"Evet")/(COUNTIF('Cevap Sonuçları'!$W$3:$W$106,"Evet")+COUNTIF('Cevap Sonuçları'!$W$3:$W$106,"Hayır"))</f>
        <v>0.80555555555555558</v>
      </c>
      <c r="E45" s="13">
        <f>COUNTIF('Cevap Sonuçları'!$V$3:$V$106,"Doğru ret")/COUNTIF('Cevap Sonuçları'!$D$3:$D$106,"Ret*")</f>
        <v>0.8</v>
      </c>
      <c r="F45" s="8">
        <f>COUNTIF('Cevap Sonuçları'!$V$3:$V$106,"Gereksiz ret*")</f>
        <v>5</v>
      </c>
      <c r="G45" s="13">
        <f>F45/COUNTIF('Cevap Sonuçları'!$D$3:$D$106,"Cevap")</f>
        <v>6.3291139240506333E-2</v>
      </c>
      <c r="H45" s="8">
        <f>COUNTIF('Cevap Sonuçları'!$V$3:$V$106,"Uydurma")</f>
        <v>5</v>
      </c>
      <c r="I45" s="14">
        <v>1771</v>
      </c>
    </row>
    <row r="46" spans="1:9" x14ac:dyDescent="0.25">
      <c r="A46" s="12" t="s">
        <v>41</v>
      </c>
      <c r="B46" s="8">
        <f>COUNTIF('Cevap Sonuçları'!$Z$3:$Z$106,"Doğru cevap")</f>
        <v>49</v>
      </c>
      <c r="C46" s="13">
        <f>B46/COUNTIF('Cevap Sonuçları'!$D$3:$D$106,"Cevap")</f>
        <v>0.620253164556962</v>
      </c>
      <c r="D46" s="13">
        <f>COUNTIF('Cevap Sonuçları'!$AA$3:$AA$106,"Evet")/(COUNTIF('Cevap Sonuçları'!$AA$3:$AA$106,"Evet")+COUNTIF('Cevap Sonuçları'!$AA$3:$AA$106,"Hayır"))</f>
        <v>0.76056338028169013</v>
      </c>
      <c r="E46" s="13">
        <f>COUNTIF('Cevap Sonuçları'!$Z$3:$Z$106,"Doğru ret")/COUNTIF('Cevap Sonuçları'!$D$3:$D$106,"Ret*")</f>
        <v>0.88</v>
      </c>
      <c r="F46" s="8">
        <f>COUNTIF('Cevap Sonuçları'!$Z$3:$Z$106,"Gereksiz ret*")</f>
        <v>6</v>
      </c>
      <c r="G46" s="13">
        <f>F46/COUNTIF('Cevap Sonuçları'!$D$3:$D$106,"Cevap")</f>
        <v>7.5949367088607597E-2</v>
      </c>
      <c r="H46" s="8">
        <f>COUNTIF('Cevap Sonuçları'!$Z$3:$Z$106,"Uydurma")</f>
        <v>3</v>
      </c>
      <c r="I46" s="14">
        <v>2923</v>
      </c>
    </row>
    <row r="48" spans="1:9" ht="15.75" x14ac:dyDescent="0.25">
      <c r="A48" s="4" t="s">
        <v>58</v>
      </c>
    </row>
    <row r="49" spans="1:7" x14ac:dyDescent="0.25">
      <c r="A49" s="6" t="s">
        <v>10</v>
      </c>
      <c r="B49" s="6" t="s">
        <v>43</v>
      </c>
      <c r="C49" s="6" t="s">
        <v>44</v>
      </c>
      <c r="D49" s="6" t="s">
        <v>45</v>
      </c>
      <c r="E49" s="6" t="s">
        <v>46</v>
      </c>
      <c r="F49" s="6" t="s">
        <v>47</v>
      </c>
      <c r="G49" s="6" t="s">
        <v>48</v>
      </c>
    </row>
    <row r="50" spans="1:7" x14ac:dyDescent="0.25">
      <c r="A50" s="7" t="s">
        <v>59</v>
      </c>
      <c r="B50" s="8">
        <f>COUNTIFS('Cevap Sonuçları'!$B$3:$B$106,"Tek belge",'Cevap Sonuçları'!$F$3:$F$106,"Doğru cevap")</f>
        <v>23</v>
      </c>
      <c r="C50" s="8">
        <f>COUNTIFS('Cevap Sonuçları'!$B$3:$B$106,"Tek belge",'Cevap Sonuçları'!$J$3:$J$106,"Doğru cevap")</f>
        <v>32</v>
      </c>
      <c r="D50" s="8">
        <f>COUNTIFS('Cevap Sonuçları'!$B$3:$B$106,"Tek belge",'Cevap Sonuçları'!$N$3:$N$106,"Doğru cevap")</f>
        <v>26</v>
      </c>
      <c r="E50" s="8">
        <f>COUNTIFS('Cevap Sonuçları'!$B$3:$B$106,"Tek belge",'Cevap Sonuçları'!$R$3:$R$106,"Doğru cevap")</f>
        <v>29</v>
      </c>
      <c r="F50" s="8">
        <f>COUNTIFS('Cevap Sonuçları'!$B$3:$B$106,"Tek belge",'Cevap Sonuçları'!$V$3:$V$106,"Doğru cevap")</f>
        <v>34</v>
      </c>
      <c r="G50" s="8">
        <f>COUNTIFS('Cevap Sonuçları'!$B$3:$B$106,"Tek belge",'Cevap Sonuçları'!$Z$3:$Z$106,"Doğru cevap")</f>
        <v>34</v>
      </c>
    </row>
    <row r="51" spans="1:7" x14ac:dyDescent="0.25">
      <c r="A51" s="7" t="s">
        <v>60</v>
      </c>
      <c r="B51" s="8">
        <f>COUNTIFS('Cevap Sonuçları'!$B$3:$B$106,"Çok belge",'Cevap Sonuçları'!$F$3:$F$106,"Doğru cevap")</f>
        <v>4</v>
      </c>
      <c r="C51" s="8">
        <f>COUNTIFS('Cevap Sonuçları'!$B$3:$B$106,"Çok belge",'Cevap Sonuçları'!$J$3:$J$106,"Doğru cevap")</f>
        <v>8</v>
      </c>
      <c r="D51" s="8">
        <f>COUNTIFS('Cevap Sonuçları'!$B$3:$B$106,"Çok belge",'Cevap Sonuçları'!$N$3:$N$106,"Doğru cevap")</f>
        <v>3</v>
      </c>
      <c r="E51" s="8">
        <f>COUNTIFS('Cevap Sonuçları'!$B$3:$B$106,"Çok belge",'Cevap Sonuçları'!$R$3:$R$106,"Doğru cevap")</f>
        <v>6</v>
      </c>
      <c r="F51" s="8">
        <f>COUNTIFS('Cevap Sonuçları'!$B$3:$B$106,"Çok belge",'Cevap Sonuçları'!$V$3:$V$106,"Doğru cevap")</f>
        <v>9</v>
      </c>
      <c r="G51" s="8">
        <f>COUNTIFS('Cevap Sonuçları'!$B$3:$B$106,"Çok belge",'Cevap Sonuçları'!$Z$3:$Z$106,"Doğru cevap")</f>
        <v>8</v>
      </c>
    </row>
    <row r="52" spans="1:7" x14ac:dyDescent="0.25">
      <c r="A52" s="7" t="s">
        <v>61</v>
      </c>
      <c r="B52" s="8">
        <f>COUNTIFS('Cevap Sonuçları'!$B$3:$B$106,"Sürüm",'Cevap Sonuçları'!$F$3:$F$106,"Doğru cevap")</f>
        <v>3</v>
      </c>
      <c r="C52" s="8">
        <f>COUNTIFS('Cevap Sonuçları'!$B$3:$B$106,"Sürüm",'Cevap Sonuçları'!$J$3:$J$106,"Doğru cevap")</f>
        <v>4</v>
      </c>
      <c r="D52" s="8">
        <f>COUNTIFS('Cevap Sonuçları'!$B$3:$B$106,"Sürüm",'Cevap Sonuçları'!$N$3:$N$106,"Doğru cevap")</f>
        <v>4</v>
      </c>
      <c r="E52" s="8">
        <f>COUNTIFS('Cevap Sonuçları'!$B$3:$B$106,"Sürüm",'Cevap Sonuçları'!$R$3:$R$106,"Doğru cevap")</f>
        <v>6</v>
      </c>
      <c r="F52" s="8">
        <f>COUNTIFS('Cevap Sonuçları'!$B$3:$B$106,"Sürüm",'Cevap Sonuçları'!$V$3:$V$106,"Doğru cevap")</f>
        <v>7</v>
      </c>
      <c r="G52" s="8">
        <f>COUNTIFS('Cevap Sonuçları'!$B$3:$B$106,"Sürüm",'Cevap Sonuçları'!$Z$3:$Z$106,"Doğru cevap")</f>
        <v>7</v>
      </c>
    </row>
    <row r="53" spans="1:7" x14ac:dyDescent="0.25">
      <c r="A53" s="7" t="s">
        <v>62</v>
      </c>
      <c r="B53" s="8">
        <f>COUNTIFS('Cevap Sonuçları'!$B$3:$B$106,"Belirsiz",'Cevap Sonuçları'!$F$3:$F$106,"Doğru cevap")</f>
        <v>0</v>
      </c>
      <c r="C53" s="8">
        <f>COUNTIFS('Cevap Sonuçları'!$B$3:$B$106,"Belirsiz",'Cevap Sonuçları'!$J$3:$J$106,"Doğru cevap")</f>
        <v>0</v>
      </c>
      <c r="D53" s="8">
        <f>COUNTIFS('Cevap Sonuçları'!$B$3:$B$106,"Belirsiz",'Cevap Sonuçları'!$N$3:$N$106,"Doğru cevap")</f>
        <v>0</v>
      </c>
      <c r="E53" s="8">
        <f>COUNTIFS('Cevap Sonuçları'!$B$3:$B$106,"Belirsiz",'Cevap Sonuçları'!$R$3:$R$106,"Doğru cevap")</f>
        <v>0</v>
      </c>
      <c r="F53" s="8">
        <f>COUNTIFS('Cevap Sonuçları'!$B$3:$B$106,"Belirsiz",'Cevap Sonuçları'!$V$3:$V$106,"Doğru cevap")</f>
        <v>0</v>
      </c>
      <c r="G53" s="8">
        <f>COUNTIFS('Cevap Sonuçları'!$B$3:$B$106,"Belirsiz",'Cevap Sonuçları'!$Z$3:$Z$106,"Doğru cevap")</f>
        <v>0</v>
      </c>
    </row>
    <row r="54" spans="1:7" x14ac:dyDescent="0.25">
      <c r="A54" s="7" t="s">
        <v>63</v>
      </c>
      <c r="B54" s="8">
        <f>COUNTIFS('Cevap Sonuçları'!$B$3:$B$106,"Cevapsız",'Cevap Sonuçları'!$F$3:$F$106,"Doğru ret")</f>
        <v>9</v>
      </c>
      <c r="C54" s="8">
        <f>COUNTIFS('Cevap Sonuçları'!$B$3:$B$106,"Cevapsız",'Cevap Sonuçları'!$J$3:$J$106,"Doğru ret")</f>
        <v>7</v>
      </c>
      <c r="D54" s="8">
        <f>COUNTIFS('Cevap Sonuçları'!$B$3:$B$106,"Cevapsız",'Cevap Sonuçları'!$N$3:$N$106,"Doğru ret")</f>
        <v>11</v>
      </c>
      <c r="E54" s="8">
        <f>COUNTIFS('Cevap Sonuçları'!$B$3:$B$106,"Cevapsız",'Cevap Sonuçları'!$R$3:$R$106,"Doğru ret")</f>
        <v>9</v>
      </c>
      <c r="F54" s="8">
        <f>COUNTIFS('Cevap Sonuçları'!$B$3:$B$106,"Cevapsız",'Cevap Sonuçları'!$V$3:$V$106,"Doğru ret")</f>
        <v>10</v>
      </c>
      <c r="G54" s="8">
        <f>COUNTIFS('Cevap Sonuçları'!$B$3:$B$106,"Cevapsız",'Cevap Sonuçları'!$Z$3:$Z$106,"Doğru ret")</f>
        <v>12</v>
      </c>
    </row>
    <row r="55" spans="1:7" x14ac:dyDescent="0.25">
      <c r="A55" s="7" t="s">
        <v>64</v>
      </c>
      <c r="B55" s="8">
        <f>COUNTIFS('Cevap Sonuçları'!$B$3:$B$106,"Kapsam dışı",'Cevap Sonuçları'!$F$3:$F$106,"Doğru ret")</f>
        <v>10</v>
      </c>
      <c r="C55" s="8">
        <f>COUNTIFS('Cevap Sonuçları'!$B$3:$B$106,"Kapsam dışı",'Cevap Sonuçları'!$J$3:$J$106,"Doğru ret")</f>
        <v>10</v>
      </c>
      <c r="D55" s="8">
        <f>COUNTIFS('Cevap Sonuçları'!$B$3:$B$106,"Kapsam dışı",'Cevap Sonuçları'!$N$3:$N$106,"Doğru ret")</f>
        <v>10</v>
      </c>
      <c r="E55" s="8">
        <f>COUNTIFS('Cevap Sonuçları'!$B$3:$B$106,"Kapsam dışı",'Cevap Sonuçları'!$R$3:$R$106,"Doğru ret")</f>
        <v>10</v>
      </c>
      <c r="F55" s="8">
        <f>COUNTIFS('Cevap Sonuçları'!$B$3:$B$106,"Kapsam dışı",'Cevap Sonuçları'!$V$3:$V$106,"Doğru ret")</f>
        <v>10</v>
      </c>
      <c r="G55" s="8">
        <f>COUNTIFS('Cevap Sonuçları'!$B$3:$B$106,"Kapsam dışı",'Cevap Sonuçları'!$Z$3:$Z$106,"Doğru ret")</f>
        <v>10</v>
      </c>
    </row>
    <row r="57" spans="1:7" ht="15.75" x14ac:dyDescent="0.25">
      <c r="A57" s="4" t="s">
        <v>65</v>
      </c>
    </row>
    <row r="58" spans="1:7" x14ac:dyDescent="0.25">
      <c r="A58" s="6" t="s">
        <v>66</v>
      </c>
      <c r="B58" s="6" t="s">
        <v>43</v>
      </c>
      <c r="C58" s="6" t="s">
        <v>44</v>
      </c>
      <c r="D58" s="6" t="s">
        <v>45</v>
      </c>
      <c r="E58" s="6" t="s">
        <v>46</v>
      </c>
      <c r="F58" s="6" t="s">
        <v>47</v>
      </c>
      <c r="G58" s="6" t="s">
        <v>48</v>
      </c>
    </row>
    <row r="59" spans="1:7" x14ac:dyDescent="0.25">
      <c r="A59" s="7" t="s">
        <v>67</v>
      </c>
      <c r="B59" s="8">
        <f>COUNTIF('Cevap Sonuçları'!$F$3:$F$106,$A59)</f>
        <v>2</v>
      </c>
      <c r="C59" s="8">
        <f>COUNTIF('Cevap Sonuçları'!$J$3:$J$106,$A59)</f>
        <v>1</v>
      </c>
      <c r="D59" s="8">
        <f>COUNTIF('Cevap Sonuçları'!$N$3:$N$106,$A59)</f>
        <v>3</v>
      </c>
      <c r="E59" s="8">
        <f>COUNTIF('Cevap Sonuçları'!$R$3:$R$106,$A59)</f>
        <v>1</v>
      </c>
      <c r="F59" s="8">
        <f>COUNTIF('Cevap Sonuçları'!$V$3:$V$106,$A59)</f>
        <v>1</v>
      </c>
      <c r="G59" s="8">
        <f>COUNTIF('Cevap Sonuçları'!$Z$3:$Z$106,$A59)</f>
        <v>1</v>
      </c>
    </row>
    <row r="60" spans="1:7" x14ac:dyDescent="0.25">
      <c r="A60" s="7" t="s">
        <v>68</v>
      </c>
      <c r="B60" s="8">
        <f>COUNTIF('Cevap Sonuçları'!$F$3:$F$106,$A60)</f>
        <v>3</v>
      </c>
      <c r="C60" s="8">
        <f>COUNTIF('Cevap Sonuçları'!$J$3:$J$106,$A60)</f>
        <v>3</v>
      </c>
      <c r="D60" s="8">
        <f>COUNTIF('Cevap Sonuçları'!$N$3:$N$106,$A60)</f>
        <v>3</v>
      </c>
      <c r="E60" s="8">
        <f>COUNTIF('Cevap Sonuçları'!$R$3:$R$106,$A60)</f>
        <v>2</v>
      </c>
      <c r="F60" s="8">
        <f>COUNTIF('Cevap Sonuçları'!$V$3:$V$106,$A60)</f>
        <v>2</v>
      </c>
      <c r="G60" s="8">
        <f>COUNTIF('Cevap Sonuçları'!$Z$3:$Z$106,$A60)</f>
        <v>3</v>
      </c>
    </row>
    <row r="61" spans="1:7" x14ac:dyDescent="0.25">
      <c r="A61" s="7" t="s">
        <v>69</v>
      </c>
      <c r="B61" s="8">
        <f>COUNTIF('Cevap Sonuçları'!$F$3:$F$106,$A61)</f>
        <v>1</v>
      </c>
      <c r="C61" s="8">
        <f>COUNTIF('Cevap Sonuçları'!$J$3:$J$106,$A61)</f>
        <v>0</v>
      </c>
      <c r="D61" s="8">
        <f>COUNTIF('Cevap Sonuçları'!$N$3:$N$106,$A61)</f>
        <v>3</v>
      </c>
      <c r="E61" s="8">
        <f>COUNTIF('Cevap Sonuçları'!$R$3:$R$106,$A61)</f>
        <v>3</v>
      </c>
      <c r="F61" s="8">
        <f>COUNTIF('Cevap Sonuçları'!$V$3:$V$106,$A61)</f>
        <v>2</v>
      </c>
      <c r="G61" s="8">
        <f>COUNTIF('Cevap Sonuçları'!$Z$3:$Z$106,$A61)</f>
        <v>2</v>
      </c>
    </row>
    <row r="63" spans="1:7" ht="15.75" x14ac:dyDescent="0.25">
      <c r="A63" s="4" t="s">
        <v>70</v>
      </c>
    </row>
    <row r="64" spans="1:7" x14ac:dyDescent="0.25">
      <c r="A64" s="6" t="s">
        <v>71</v>
      </c>
      <c r="B64" s="6" t="s">
        <v>43</v>
      </c>
      <c r="C64" s="6" t="s">
        <v>44</v>
      </c>
      <c r="D64" s="6" t="s">
        <v>45</v>
      </c>
      <c r="E64" s="6" t="s">
        <v>46</v>
      </c>
      <c r="F64" s="6" t="s">
        <v>47</v>
      </c>
      <c r="G64" s="6" t="s">
        <v>48</v>
      </c>
    </row>
    <row r="65" spans="1:7" x14ac:dyDescent="0.25">
      <c r="A65" s="12" t="s">
        <v>72</v>
      </c>
      <c r="B65" s="8">
        <f>COUNTIF('Cevap Sonuçları'!$H$3:$H$106,"Evet")</f>
        <v>25</v>
      </c>
      <c r="C65" s="8">
        <f>COUNTIF('Cevap Sonuçları'!$L$3:$L$106,"Evet")</f>
        <v>34</v>
      </c>
      <c r="D65" s="8">
        <f>COUNTIF('Cevap Sonuçları'!$P$3:$P$106,"Evet")</f>
        <v>28</v>
      </c>
      <c r="E65" s="8">
        <f>COUNTIF('Cevap Sonuçları'!$T$3:$T$106,"Evet")</f>
        <v>35</v>
      </c>
      <c r="F65" s="8">
        <f>COUNTIF('Cevap Sonuçları'!$X$3:$X$106,"Evet")</f>
        <v>40</v>
      </c>
      <c r="G65" s="8">
        <f>COUNTIF('Cevap Sonuçları'!$AB$3:$AB$106,"Evet")</f>
        <v>39</v>
      </c>
    </row>
    <row r="66" spans="1:7" x14ac:dyDescent="0.25">
      <c r="A66" s="12" t="s">
        <v>73</v>
      </c>
      <c r="B66" s="8">
        <f>COUNTIF('Cevap Sonuçları'!$E$3:$E$106,"Ret: dayanaksız sayı")</f>
        <v>4</v>
      </c>
      <c r="C66" s="8">
        <f>COUNTIF('Cevap Sonuçları'!$I$3:$I$106,"Ret: dayanaksız sayı")</f>
        <v>1</v>
      </c>
      <c r="D66" s="8">
        <f>COUNTIF('Cevap Sonuçları'!$M$3:$M$106,"Ret: dayanaksız sayı")</f>
        <v>6</v>
      </c>
      <c r="E66" s="8">
        <f>COUNTIF('Cevap Sonuçları'!$Q$3:$Q$106,"Ret: dayanaksız sayı")</f>
        <v>3</v>
      </c>
      <c r="F66" s="8">
        <f>COUNTIF('Cevap Sonuçları'!$U$3:$U$106,"Ret: dayanaksız sayı")</f>
        <v>1</v>
      </c>
      <c r="G66" s="8">
        <f>COUNTIF('Cevap Sonuçları'!$Y$3:$Y$106,"Ret: dayanaksız sayı")</f>
        <v>3</v>
      </c>
    </row>
    <row r="67" spans="1:7" x14ac:dyDescent="0.25">
      <c r="A67" s="12" t="s">
        <v>74</v>
      </c>
      <c r="B67" s="8">
        <f>COUNTIFS('Cevap Sonuçları'!$E$3:$E$106,"Ret: kapsam dışı",'Cevap Sonuçları'!$D$3:$D$106,"Cevap")</f>
        <v>2</v>
      </c>
      <c r="C67" s="8">
        <f>COUNTIFS('Cevap Sonuçları'!$I$3:$I$106,"Ret: kapsam dışı",'Cevap Sonuçları'!$D$3:$D$106,"Cevap")</f>
        <v>2</v>
      </c>
      <c r="D67" s="8">
        <f>COUNTIFS('Cevap Sonuçları'!$M$3:$M$106,"Ret: kapsam dışı",'Cevap Sonuçları'!$D$3:$D$106,"Cevap")</f>
        <v>2</v>
      </c>
      <c r="E67" s="8">
        <f>COUNTIFS('Cevap Sonuçları'!$Q$3:$Q$106,"Ret: kapsam dışı",'Cevap Sonuçları'!$D$3:$D$106,"Cevap")</f>
        <v>2</v>
      </c>
      <c r="F67" s="8">
        <f>COUNTIFS('Cevap Sonuçları'!$U$3:$U$106,"Ret: kapsam dışı",'Cevap Sonuçları'!$D$3:$D$106,"Cevap")</f>
        <v>2</v>
      </c>
      <c r="G67" s="8">
        <f>COUNTIFS('Cevap Sonuçları'!$Y$3:$Y$106,"Ret: kapsam dışı",'Cevap Sonuçları'!$D$3:$D$106,"Cevap")</f>
        <v>2</v>
      </c>
    </row>
    <row r="68" spans="1:7" x14ac:dyDescent="0.25">
      <c r="A68" s="12" t="s">
        <v>75</v>
      </c>
      <c r="B68" s="13">
        <v>0.30928270042194089</v>
      </c>
      <c r="C68" s="13">
        <v>0.36847389558232929</v>
      </c>
      <c r="D68" s="13">
        <v>0.4475555555555556</v>
      </c>
      <c r="E68" s="13">
        <v>0.47166666666666668</v>
      </c>
      <c r="F68" s="13">
        <v>0.42062500000000003</v>
      </c>
      <c r="G68" s="13">
        <v>0.46320346320346317</v>
      </c>
    </row>
    <row r="69" spans="1:7" x14ac:dyDescent="0.25">
      <c r="A69" s="12" t="s">
        <v>76</v>
      </c>
      <c r="B69" s="8">
        <v>0</v>
      </c>
      <c r="C69" s="8">
        <v>0</v>
      </c>
      <c r="D69" s="8">
        <v>0</v>
      </c>
      <c r="E69" s="8">
        <v>0</v>
      </c>
      <c r="F69" s="8">
        <v>0</v>
      </c>
      <c r="G69" s="8">
        <v>0</v>
      </c>
    </row>
    <row r="70" spans="1:7" x14ac:dyDescent="0.25">
      <c r="A70" s="12" t="s">
        <v>77</v>
      </c>
      <c r="B70" s="8">
        <v>0</v>
      </c>
      <c r="C70" s="8">
        <v>0</v>
      </c>
      <c r="D70" s="8">
        <v>0</v>
      </c>
      <c r="E70" s="8">
        <v>0</v>
      </c>
      <c r="F70" s="8">
        <v>0</v>
      </c>
      <c r="G70" s="8">
        <v>0</v>
      </c>
    </row>
    <row r="72" spans="1:7" ht="15.75" x14ac:dyDescent="0.25">
      <c r="A72" s="4" t="s">
        <v>78</v>
      </c>
    </row>
    <row r="73" spans="1:7" x14ac:dyDescent="0.25">
      <c r="A73" s="6" t="s">
        <v>79</v>
      </c>
      <c r="B73" s="6" t="s">
        <v>80</v>
      </c>
    </row>
    <row r="74" spans="1:7" x14ac:dyDescent="0.25">
      <c r="A74" s="7" t="s">
        <v>81</v>
      </c>
      <c r="B74" s="15">
        <f>'Birim Testleri Özeti'!C21</f>
        <v>1533</v>
      </c>
    </row>
    <row r="75" spans="1:7" x14ac:dyDescent="0.25">
      <c r="A75" s="7" t="s">
        <v>82</v>
      </c>
      <c r="B75" s="15">
        <f>'Birim Testleri Özeti'!D21</f>
        <v>1520</v>
      </c>
    </row>
    <row r="76" spans="1:7" x14ac:dyDescent="0.25">
      <c r="A76" s="7" t="s">
        <v>83</v>
      </c>
      <c r="B76" s="15">
        <f>'Birim Testleri Özeti'!E21</f>
        <v>12</v>
      </c>
    </row>
    <row r="77" spans="1:7" x14ac:dyDescent="0.25">
      <c r="A77" s="7" t="s">
        <v>84</v>
      </c>
      <c r="B77" s="15">
        <f>'Birim Testleri Özeti'!F21</f>
        <v>0</v>
      </c>
    </row>
    <row r="78" spans="1:7" x14ac:dyDescent="0.25">
      <c r="A78" s="7" t="s">
        <v>85</v>
      </c>
      <c r="B78" s="15">
        <f>'Birim Testleri Özeti'!G21</f>
        <v>0</v>
      </c>
    </row>
    <row r="79" spans="1:7" x14ac:dyDescent="0.25">
      <c r="A79" s="7" t="s">
        <v>86</v>
      </c>
      <c r="B79" s="15">
        <f>'Birim Testleri Özeti'!H21</f>
        <v>1</v>
      </c>
    </row>
    <row r="80" spans="1:7" x14ac:dyDescent="0.25">
      <c r="A80" s="7" t="s">
        <v>87</v>
      </c>
      <c r="B80" s="16">
        <f>IFERROR(B75/(B74-B76-B77-B79),0)</f>
        <v>1</v>
      </c>
    </row>
    <row r="81" spans="1:1" x14ac:dyDescent="0.25">
      <c r="A81" s="2" t="s">
        <v>88</v>
      </c>
    </row>
    <row r="83" spans="1:1" ht="15.75" x14ac:dyDescent="0.25">
      <c r="A83" s="4" t="s">
        <v>89</v>
      </c>
    </row>
    <row r="84" spans="1:1" x14ac:dyDescent="0.25">
      <c r="A84" s="5" t="s">
        <v>90</v>
      </c>
    </row>
    <row r="85" spans="1:1" x14ac:dyDescent="0.25">
      <c r="A85" s="5" t="s">
        <v>91</v>
      </c>
    </row>
    <row r="86" spans="1:1" x14ac:dyDescent="0.25">
      <c r="A86" s="5" t="s">
        <v>92</v>
      </c>
    </row>
  </sheetData>
  <mergeCells count="8">
    <mergeCell ref="F13:H13"/>
    <mergeCell ref="F17:H17"/>
    <mergeCell ref="F15:H15"/>
    <mergeCell ref="F20:H20"/>
    <mergeCell ref="F16:H16"/>
    <mergeCell ref="F19:H19"/>
    <mergeCell ref="F14:H14"/>
    <mergeCell ref="F18:H18"/>
  </mergeCells>
  <conditionalFormatting sqref="B25:D30">
    <cfRule type="colorScale" priority="1">
      <colorScale>
        <cfvo type="min"/>
        <cfvo type="max"/>
        <color rgb="FFF8F8F8"/>
        <color rgb="FFA9D08E"/>
      </colorScale>
    </cfRule>
  </conditionalFormatting>
  <conditionalFormatting sqref="B34:G37">
    <cfRule type="colorScale" priority="2">
      <colorScale>
        <cfvo type="min"/>
        <cfvo type="max"/>
        <color rgb="FFF8F8F8"/>
        <color rgb="FFA9D08E"/>
      </colorScale>
    </cfRule>
  </conditionalFormatting>
  <conditionalFormatting sqref="C41:E46">
    <cfRule type="colorScale" priority="3">
      <colorScale>
        <cfvo type="min"/>
        <cfvo type="max"/>
        <color rgb="FFF8F8F8"/>
        <color rgb="FFA9D08E"/>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
  <sheetViews>
    <sheetView zoomScale="90"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12" customWidth="1"/>
    <col min="3" max="3" width="9" customWidth="1"/>
    <col min="4" max="5" width="55" customWidth="1"/>
    <col min="6" max="6" width="62" customWidth="1"/>
    <col min="7" max="7" width="30" customWidth="1"/>
    <col min="8" max="8" width="14" customWidth="1"/>
    <col min="9" max="9" width="12" customWidth="1"/>
    <col min="10" max="10" width="22" customWidth="1"/>
    <col min="11" max="11" width="15" customWidth="1"/>
    <col min="12" max="12" width="40" customWidth="1"/>
  </cols>
  <sheetData>
    <row r="1" spans="1:12" ht="30" customHeight="1" x14ac:dyDescent="0.25">
      <c r="A1" s="6" t="s">
        <v>93</v>
      </c>
      <c r="B1" s="6" t="s">
        <v>10</v>
      </c>
      <c r="C1" s="6" t="s">
        <v>94</v>
      </c>
      <c r="D1" s="6" t="s">
        <v>11</v>
      </c>
      <c r="E1" s="6" t="s">
        <v>95</v>
      </c>
      <c r="F1" s="6" t="s">
        <v>96</v>
      </c>
      <c r="G1" s="6" t="s">
        <v>97</v>
      </c>
      <c r="H1" s="6" t="s">
        <v>98</v>
      </c>
      <c r="I1" s="6" t="s">
        <v>99</v>
      </c>
      <c r="J1" s="6" t="s">
        <v>100</v>
      </c>
      <c r="K1" s="6" t="s">
        <v>101</v>
      </c>
      <c r="L1" s="6" t="s">
        <v>102</v>
      </c>
    </row>
    <row r="2" spans="1:12" ht="25.5" x14ac:dyDescent="0.25">
      <c r="A2" s="17" t="s">
        <v>103</v>
      </c>
      <c r="B2" s="8" t="s">
        <v>16</v>
      </c>
      <c r="C2" s="8" t="s">
        <v>12</v>
      </c>
      <c r="D2" s="12" t="s">
        <v>104</v>
      </c>
      <c r="E2" s="12" t="s">
        <v>105</v>
      </c>
      <c r="F2" s="12" t="s">
        <v>106</v>
      </c>
      <c r="G2" s="12" t="s">
        <v>107</v>
      </c>
      <c r="H2" s="8" t="s">
        <v>108</v>
      </c>
      <c r="I2" s="8" t="s">
        <v>109</v>
      </c>
      <c r="J2" s="12" t="s">
        <v>110</v>
      </c>
      <c r="K2" s="8" t="s">
        <v>111</v>
      </c>
      <c r="L2" s="12"/>
    </row>
    <row r="3" spans="1:12" ht="63.75" x14ac:dyDescent="0.25">
      <c r="A3" s="17" t="s">
        <v>112</v>
      </c>
      <c r="B3" s="8" t="s">
        <v>18</v>
      </c>
      <c r="C3" s="8" t="s">
        <v>12</v>
      </c>
      <c r="D3" s="12" t="s">
        <v>113</v>
      </c>
      <c r="E3" s="12" t="s">
        <v>114</v>
      </c>
      <c r="F3" s="12" t="s">
        <v>115</v>
      </c>
      <c r="G3" s="12" t="s">
        <v>116</v>
      </c>
      <c r="H3" s="8" t="s">
        <v>117</v>
      </c>
      <c r="I3" s="8" t="s">
        <v>118</v>
      </c>
      <c r="J3" s="12" t="s">
        <v>110</v>
      </c>
      <c r="K3" s="8" t="s">
        <v>111</v>
      </c>
      <c r="L3" s="12"/>
    </row>
    <row r="4" spans="1:12" ht="38.25" x14ac:dyDescent="0.25">
      <c r="A4" s="17" t="s">
        <v>119</v>
      </c>
      <c r="B4" s="8" t="s">
        <v>16</v>
      </c>
      <c r="C4" s="8" t="s">
        <v>14</v>
      </c>
      <c r="D4" s="12" t="s">
        <v>120</v>
      </c>
      <c r="E4" s="12" t="s">
        <v>121</v>
      </c>
      <c r="F4" s="12" t="s">
        <v>122</v>
      </c>
      <c r="G4" s="12" t="s">
        <v>123</v>
      </c>
      <c r="H4" s="8" t="s">
        <v>124</v>
      </c>
      <c r="I4" s="8" t="s">
        <v>118</v>
      </c>
      <c r="J4" s="12" t="s">
        <v>110</v>
      </c>
      <c r="K4" s="8" t="s">
        <v>111</v>
      </c>
      <c r="L4" s="12"/>
    </row>
    <row r="5" spans="1:12" ht="38.25" x14ac:dyDescent="0.25">
      <c r="A5" s="17" t="s">
        <v>125</v>
      </c>
      <c r="B5" s="8" t="s">
        <v>16</v>
      </c>
      <c r="C5" s="8" t="s">
        <v>14</v>
      </c>
      <c r="D5" s="12" t="s">
        <v>126</v>
      </c>
      <c r="E5" s="12" t="s">
        <v>127</v>
      </c>
      <c r="F5" s="12" t="s">
        <v>128</v>
      </c>
      <c r="G5" s="12" t="s">
        <v>123</v>
      </c>
      <c r="H5" s="8" t="s">
        <v>129</v>
      </c>
      <c r="I5" s="8" t="s">
        <v>118</v>
      </c>
      <c r="J5" s="12" t="s">
        <v>110</v>
      </c>
      <c r="K5" s="8" t="s">
        <v>111</v>
      </c>
      <c r="L5" s="12"/>
    </row>
    <row r="6" spans="1:12" ht="38.25" x14ac:dyDescent="0.25">
      <c r="A6" s="17" t="s">
        <v>130</v>
      </c>
      <c r="B6" s="8" t="s">
        <v>16</v>
      </c>
      <c r="C6" s="8" t="s">
        <v>13</v>
      </c>
      <c r="D6" s="12" t="s">
        <v>131</v>
      </c>
      <c r="E6" s="12" t="s">
        <v>132</v>
      </c>
      <c r="F6" s="12" t="s">
        <v>133</v>
      </c>
      <c r="G6" s="12" t="s">
        <v>123</v>
      </c>
      <c r="H6" s="8" t="s">
        <v>134</v>
      </c>
      <c r="I6" s="8" t="s">
        <v>118</v>
      </c>
      <c r="J6" s="12" t="s">
        <v>110</v>
      </c>
      <c r="K6" s="8" t="s">
        <v>111</v>
      </c>
      <c r="L6" s="12"/>
    </row>
    <row r="7" spans="1:12" ht="25.5" x14ac:dyDescent="0.25">
      <c r="A7" s="17" t="s">
        <v>135</v>
      </c>
      <c r="B7" s="8" t="s">
        <v>16</v>
      </c>
      <c r="C7" s="8" t="s">
        <v>13</v>
      </c>
      <c r="D7" s="12" t="s">
        <v>136</v>
      </c>
      <c r="E7" s="12" t="s">
        <v>137</v>
      </c>
      <c r="F7" s="12" t="s">
        <v>138</v>
      </c>
      <c r="G7" s="12" t="s">
        <v>107</v>
      </c>
      <c r="H7" s="8" t="s">
        <v>139</v>
      </c>
      <c r="I7" s="8" t="s">
        <v>109</v>
      </c>
      <c r="J7" s="12" t="s">
        <v>110</v>
      </c>
      <c r="K7" s="8" t="s">
        <v>111</v>
      </c>
      <c r="L7" s="12"/>
    </row>
    <row r="8" spans="1:12" ht="51" x14ac:dyDescent="0.25">
      <c r="A8" s="17" t="s">
        <v>140</v>
      </c>
      <c r="B8" s="8" t="s">
        <v>16</v>
      </c>
      <c r="C8" s="8" t="s">
        <v>14</v>
      </c>
      <c r="D8" s="12" t="s">
        <v>141</v>
      </c>
      <c r="E8" s="12" t="s">
        <v>142</v>
      </c>
      <c r="F8" s="12" t="s">
        <v>143</v>
      </c>
      <c r="G8" s="12" t="s">
        <v>144</v>
      </c>
      <c r="H8" s="8" t="s">
        <v>145</v>
      </c>
      <c r="I8" s="8" t="s">
        <v>146</v>
      </c>
      <c r="J8" s="12" t="s">
        <v>110</v>
      </c>
      <c r="K8" s="8" t="s">
        <v>111</v>
      </c>
      <c r="L8" s="12"/>
    </row>
    <row r="9" spans="1:12" ht="25.5" x14ac:dyDescent="0.25">
      <c r="A9" s="17" t="s">
        <v>147</v>
      </c>
      <c r="B9" s="8" t="s">
        <v>16</v>
      </c>
      <c r="C9" s="8" t="s">
        <v>13</v>
      </c>
      <c r="D9" s="12" t="s">
        <v>148</v>
      </c>
      <c r="E9" s="12" t="s">
        <v>149</v>
      </c>
      <c r="F9" s="12" t="s">
        <v>150</v>
      </c>
      <c r="G9" s="12" t="s">
        <v>151</v>
      </c>
      <c r="H9" s="8" t="s">
        <v>152</v>
      </c>
      <c r="I9" s="8" t="s">
        <v>153</v>
      </c>
      <c r="J9" s="12" t="s">
        <v>110</v>
      </c>
      <c r="K9" s="8" t="s">
        <v>111</v>
      </c>
      <c r="L9" s="12"/>
    </row>
    <row r="10" spans="1:12" ht="25.5" x14ac:dyDescent="0.25">
      <c r="A10" s="17" t="s">
        <v>154</v>
      </c>
      <c r="B10" s="8" t="s">
        <v>16</v>
      </c>
      <c r="C10" s="8" t="s">
        <v>13</v>
      </c>
      <c r="D10" s="12" t="s">
        <v>155</v>
      </c>
      <c r="E10" s="12" t="s">
        <v>156</v>
      </c>
      <c r="F10" s="12" t="s">
        <v>157</v>
      </c>
      <c r="G10" s="12" t="s">
        <v>158</v>
      </c>
      <c r="H10" s="8" t="s">
        <v>159</v>
      </c>
      <c r="I10" s="8" t="s">
        <v>160</v>
      </c>
      <c r="J10" s="12" t="s">
        <v>110</v>
      </c>
      <c r="K10" s="8" t="s">
        <v>111</v>
      </c>
      <c r="L10" s="12"/>
    </row>
    <row r="11" spans="1:12" ht="38.25" x14ac:dyDescent="0.25">
      <c r="A11" s="17" t="s">
        <v>161</v>
      </c>
      <c r="B11" s="8" t="s">
        <v>16</v>
      </c>
      <c r="C11" s="8" t="s">
        <v>14</v>
      </c>
      <c r="D11" s="12" t="s">
        <v>162</v>
      </c>
      <c r="E11" s="12" t="s">
        <v>163</v>
      </c>
      <c r="F11" s="12" t="s">
        <v>164</v>
      </c>
      <c r="G11" s="12" t="s">
        <v>165</v>
      </c>
      <c r="H11" s="8" t="s">
        <v>166</v>
      </c>
      <c r="I11" s="8" t="s">
        <v>167</v>
      </c>
      <c r="J11" s="12" t="s">
        <v>110</v>
      </c>
      <c r="K11" s="8" t="s">
        <v>111</v>
      </c>
      <c r="L11" s="12"/>
    </row>
    <row r="12" spans="1:12" ht="25.5" x14ac:dyDescent="0.25">
      <c r="A12" s="17" t="s">
        <v>168</v>
      </c>
      <c r="B12" s="8" t="s">
        <v>16</v>
      </c>
      <c r="C12" s="8" t="s">
        <v>13</v>
      </c>
      <c r="D12" s="12" t="s">
        <v>169</v>
      </c>
      <c r="E12" s="12" t="s">
        <v>170</v>
      </c>
      <c r="F12" s="12" t="s">
        <v>171</v>
      </c>
      <c r="G12" s="12" t="s">
        <v>165</v>
      </c>
      <c r="H12" s="8" t="s">
        <v>172</v>
      </c>
      <c r="I12" s="8" t="s">
        <v>167</v>
      </c>
      <c r="J12" s="12" t="s">
        <v>110</v>
      </c>
      <c r="K12" s="8" t="s">
        <v>111</v>
      </c>
      <c r="L12" s="12"/>
    </row>
    <row r="13" spans="1:12" ht="25.5" x14ac:dyDescent="0.25">
      <c r="A13" s="17" t="s">
        <v>173</v>
      </c>
      <c r="B13" s="8" t="s">
        <v>16</v>
      </c>
      <c r="C13" s="8" t="s">
        <v>12</v>
      </c>
      <c r="D13" s="12" t="s">
        <v>174</v>
      </c>
      <c r="E13" s="12" t="s">
        <v>175</v>
      </c>
      <c r="F13" s="12" t="s">
        <v>176</v>
      </c>
      <c r="G13" s="12" t="s">
        <v>177</v>
      </c>
      <c r="H13" s="8" t="s">
        <v>178</v>
      </c>
      <c r="I13" s="8" t="s">
        <v>179</v>
      </c>
      <c r="J13" s="12" t="s">
        <v>110</v>
      </c>
      <c r="K13" s="8" t="s">
        <v>111</v>
      </c>
      <c r="L13" s="12"/>
    </row>
    <row r="14" spans="1:12" ht="38.25" x14ac:dyDescent="0.25">
      <c r="A14" s="17" t="s">
        <v>180</v>
      </c>
      <c r="B14" s="8" t="s">
        <v>16</v>
      </c>
      <c r="C14" s="8" t="s">
        <v>13</v>
      </c>
      <c r="D14" s="12" t="s">
        <v>181</v>
      </c>
      <c r="E14" s="12" t="s">
        <v>182</v>
      </c>
      <c r="F14" s="12" t="s">
        <v>183</v>
      </c>
      <c r="G14" s="12" t="s">
        <v>184</v>
      </c>
      <c r="H14" s="8" t="s">
        <v>185</v>
      </c>
      <c r="I14" s="8" t="s">
        <v>186</v>
      </c>
      <c r="J14" s="12" t="s">
        <v>110</v>
      </c>
      <c r="K14" s="8" t="s">
        <v>111</v>
      </c>
      <c r="L14" s="12"/>
    </row>
    <row r="15" spans="1:12" ht="51" x14ac:dyDescent="0.25">
      <c r="A15" s="17" t="s">
        <v>187</v>
      </c>
      <c r="B15" s="8" t="s">
        <v>16</v>
      </c>
      <c r="C15" s="8" t="s">
        <v>12</v>
      </c>
      <c r="D15" s="12" t="s">
        <v>188</v>
      </c>
      <c r="E15" s="12" t="s">
        <v>189</v>
      </c>
      <c r="F15" s="12" t="s">
        <v>190</v>
      </c>
      <c r="G15" s="12" t="s">
        <v>191</v>
      </c>
      <c r="H15" s="8" t="s">
        <v>192</v>
      </c>
      <c r="I15" s="8" t="s">
        <v>193</v>
      </c>
      <c r="J15" s="12" t="s">
        <v>110</v>
      </c>
      <c r="K15" s="8" t="s">
        <v>111</v>
      </c>
      <c r="L15" s="12"/>
    </row>
    <row r="16" spans="1:12" ht="51" x14ac:dyDescent="0.25">
      <c r="A16" s="17" t="s">
        <v>194</v>
      </c>
      <c r="B16" s="8" t="s">
        <v>16</v>
      </c>
      <c r="C16" s="8" t="s">
        <v>13</v>
      </c>
      <c r="D16" s="12" t="s">
        <v>195</v>
      </c>
      <c r="E16" s="12" t="s">
        <v>196</v>
      </c>
      <c r="F16" s="12" t="s">
        <v>197</v>
      </c>
      <c r="G16" s="12" t="s">
        <v>191</v>
      </c>
      <c r="H16" s="8" t="s">
        <v>198</v>
      </c>
      <c r="I16" s="8" t="s">
        <v>193</v>
      </c>
      <c r="J16" s="12" t="s">
        <v>110</v>
      </c>
      <c r="K16" s="8" t="s">
        <v>111</v>
      </c>
      <c r="L16" s="12"/>
    </row>
    <row r="17" spans="1:12" ht="51" x14ac:dyDescent="0.25">
      <c r="A17" s="17" t="s">
        <v>199</v>
      </c>
      <c r="B17" s="8" t="s">
        <v>16</v>
      </c>
      <c r="C17" s="8" t="s">
        <v>12</v>
      </c>
      <c r="D17" s="12" t="s">
        <v>200</v>
      </c>
      <c r="E17" s="12" t="s">
        <v>201</v>
      </c>
      <c r="F17" s="12" t="s">
        <v>202</v>
      </c>
      <c r="G17" s="12" t="s">
        <v>203</v>
      </c>
      <c r="H17" s="8" t="s">
        <v>204</v>
      </c>
      <c r="I17" s="8" t="s">
        <v>205</v>
      </c>
      <c r="J17" s="12" t="s">
        <v>110</v>
      </c>
      <c r="K17" s="8" t="s">
        <v>111</v>
      </c>
      <c r="L17" s="12"/>
    </row>
    <row r="18" spans="1:12" ht="25.5" x14ac:dyDescent="0.25">
      <c r="A18" s="17" t="s">
        <v>206</v>
      </c>
      <c r="B18" s="8" t="s">
        <v>16</v>
      </c>
      <c r="C18" s="8" t="s">
        <v>12</v>
      </c>
      <c r="D18" s="12" t="s">
        <v>207</v>
      </c>
      <c r="E18" s="12" t="s">
        <v>208</v>
      </c>
      <c r="F18" s="12" t="s">
        <v>209</v>
      </c>
      <c r="G18" s="12" t="s">
        <v>210</v>
      </c>
      <c r="H18" s="8" t="s">
        <v>211</v>
      </c>
      <c r="I18" s="8" t="s">
        <v>212</v>
      </c>
      <c r="J18" s="12" t="s">
        <v>110</v>
      </c>
      <c r="K18" s="8" t="s">
        <v>111</v>
      </c>
      <c r="L18" s="12"/>
    </row>
    <row r="19" spans="1:12" ht="38.25" x14ac:dyDescent="0.25">
      <c r="A19" s="17" t="s">
        <v>213</v>
      </c>
      <c r="B19" s="8" t="s">
        <v>16</v>
      </c>
      <c r="C19" s="8" t="s">
        <v>13</v>
      </c>
      <c r="D19" s="12" t="s">
        <v>214</v>
      </c>
      <c r="E19" s="12" t="s">
        <v>215</v>
      </c>
      <c r="F19" s="12" t="s">
        <v>216</v>
      </c>
      <c r="G19" s="12" t="s">
        <v>217</v>
      </c>
      <c r="H19" s="8" t="s">
        <v>218</v>
      </c>
      <c r="I19" s="8" t="s">
        <v>219</v>
      </c>
      <c r="J19" s="12" t="s">
        <v>110</v>
      </c>
      <c r="K19" s="8" t="s">
        <v>111</v>
      </c>
      <c r="L19" s="12"/>
    </row>
    <row r="20" spans="1:12" ht="51" x14ac:dyDescent="0.25">
      <c r="A20" s="17" t="s">
        <v>220</v>
      </c>
      <c r="B20" s="8" t="s">
        <v>16</v>
      </c>
      <c r="C20" s="8" t="s">
        <v>12</v>
      </c>
      <c r="D20" s="12" t="s">
        <v>221</v>
      </c>
      <c r="E20" s="12" t="s">
        <v>222</v>
      </c>
      <c r="F20" s="12" t="s">
        <v>223</v>
      </c>
      <c r="G20" s="12" t="s">
        <v>224</v>
      </c>
      <c r="H20" s="8" t="s">
        <v>225</v>
      </c>
      <c r="I20" s="8" t="s">
        <v>226</v>
      </c>
      <c r="J20" s="12" t="s">
        <v>110</v>
      </c>
      <c r="K20" s="8" t="s">
        <v>111</v>
      </c>
      <c r="L20" s="12"/>
    </row>
    <row r="21" spans="1:12" ht="51" x14ac:dyDescent="0.25">
      <c r="A21" s="17" t="s">
        <v>227</v>
      </c>
      <c r="B21" s="8" t="s">
        <v>16</v>
      </c>
      <c r="C21" s="8" t="s">
        <v>13</v>
      </c>
      <c r="D21" s="12" t="s">
        <v>228</v>
      </c>
      <c r="E21" s="12" t="s">
        <v>229</v>
      </c>
      <c r="F21" s="12" t="s">
        <v>230</v>
      </c>
      <c r="G21" s="12" t="s">
        <v>231</v>
      </c>
      <c r="H21" s="8" t="s">
        <v>232</v>
      </c>
      <c r="I21" s="8" t="s">
        <v>233</v>
      </c>
      <c r="J21" s="12" t="s">
        <v>110</v>
      </c>
      <c r="K21" s="8" t="s">
        <v>111</v>
      </c>
      <c r="L21" s="12"/>
    </row>
    <row r="22" spans="1:12" ht="25.5" x14ac:dyDescent="0.25">
      <c r="A22" s="17" t="s">
        <v>234</v>
      </c>
      <c r="B22" s="8" t="s">
        <v>16</v>
      </c>
      <c r="C22" s="8" t="s">
        <v>12</v>
      </c>
      <c r="D22" s="12" t="s">
        <v>235</v>
      </c>
      <c r="E22" s="12" t="s">
        <v>236</v>
      </c>
      <c r="F22" s="12" t="s">
        <v>237</v>
      </c>
      <c r="G22" s="12" t="s">
        <v>238</v>
      </c>
      <c r="H22" s="8" t="s">
        <v>178</v>
      </c>
      <c r="I22" s="8" t="s">
        <v>239</v>
      </c>
      <c r="J22" s="12" t="s">
        <v>110</v>
      </c>
      <c r="K22" s="8" t="s">
        <v>111</v>
      </c>
      <c r="L22" s="12"/>
    </row>
    <row r="23" spans="1:12" ht="38.25" x14ac:dyDescent="0.25">
      <c r="A23" s="17" t="s">
        <v>240</v>
      </c>
      <c r="B23" s="8" t="s">
        <v>16</v>
      </c>
      <c r="C23" s="8" t="s">
        <v>13</v>
      </c>
      <c r="D23" s="12" t="s">
        <v>241</v>
      </c>
      <c r="E23" s="12" t="s">
        <v>242</v>
      </c>
      <c r="F23" s="12" t="s">
        <v>243</v>
      </c>
      <c r="G23" s="12" t="s">
        <v>244</v>
      </c>
      <c r="H23" s="8" t="s">
        <v>172</v>
      </c>
      <c r="I23" s="8" t="s">
        <v>245</v>
      </c>
      <c r="J23" s="12" t="s">
        <v>110</v>
      </c>
      <c r="K23" s="8" t="s">
        <v>111</v>
      </c>
      <c r="L23" s="12"/>
    </row>
    <row r="24" spans="1:12" ht="25.5" x14ac:dyDescent="0.25">
      <c r="A24" s="17" t="s">
        <v>246</v>
      </c>
      <c r="B24" s="8" t="s">
        <v>16</v>
      </c>
      <c r="C24" s="8" t="s">
        <v>13</v>
      </c>
      <c r="D24" s="12" t="s">
        <v>247</v>
      </c>
      <c r="E24" s="12" t="s">
        <v>248</v>
      </c>
      <c r="F24" s="12" t="s">
        <v>249</v>
      </c>
      <c r="G24" s="12" t="s">
        <v>250</v>
      </c>
      <c r="H24" s="8" t="s">
        <v>251</v>
      </c>
      <c r="I24" s="8" t="s">
        <v>252</v>
      </c>
      <c r="J24" s="12" t="s">
        <v>110</v>
      </c>
      <c r="K24" s="8" t="s">
        <v>111</v>
      </c>
      <c r="L24" s="12"/>
    </row>
    <row r="25" spans="1:12" ht="38.25" x14ac:dyDescent="0.25">
      <c r="A25" s="17" t="s">
        <v>253</v>
      </c>
      <c r="B25" s="8" t="s">
        <v>16</v>
      </c>
      <c r="C25" s="8" t="s">
        <v>13</v>
      </c>
      <c r="D25" s="12" t="s">
        <v>254</v>
      </c>
      <c r="E25" s="12" t="s">
        <v>255</v>
      </c>
      <c r="F25" s="12" t="s">
        <v>256</v>
      </c>
      <c r="G25" s="12" t="s">
        <v>250</v>
      </c>
      <c r="H25" s="8" t="s">
        <v>178</v>
      </c>
      <c r="I25" s="8" t="s">
        <v>257</v>
      </c>
      <c r="J25" s="12" t="s">
        <v>110</v>
      </c>
      <c r="K25" s="8" t="s">
        <v>111</v>
      </c>
      <c r="L25" s="12"/>
    </row>
    <row r="26" spans="1:12" ht="25.5" x14ac:dyDescent="0.25">
      <c r="A26" s="17" t="s">
        <v>258</v>
      </c>
      <c r="B26" s="8" t="s">
        <v>16</v>
      </c>
      <c r="C26" s="8" t="s">
        <v>12</v>
      </c>
      <c r="D26" s="12" t="s">
        <v>259</v>
      </c>
      <c r="E26" s="12" t="s">
        <v>260</v>
      </c>
      <c r="F26" s="12" t="s">
        <v>261</v>
      </c>
      <c r="G26" s="12" t="s">
        <v>262</v>
      </c>
      <c r="H26" s="8"/>
      <c r="I26" s="8" t="s">
        <v>263</v>
      </c>
      <c r="J26" s="12" t="s">
        <v>110</v>
      </c>
      <c r="K26" s="8" t="s">
        <v>111</v>
      </c>
      <c r="L26" s="12"/>
    </row>
    <row r="27" spans="1:12" ht="25.5" x14ac:dyDescent="0.25">
      <c r="A27" s="17" t="s">
        <v>264</v>
      </c>
      <c r="B27" s="8" t="s">
        <v>16</v>
      </c>
      <c r="C27" s="8" t="s">
        <v>13</v>
      </c>
      <c r="D27" s="12" t="s">
        <v>265</v>
      </c>
      <c r="E27" s="12" t="s">
        <v>266</v>
      </c>
      <c r="F27" s="12" t="s">
        <v>267</v>
      </c>
      <c r="G27" s="12" t="s">
        <v>262</v>
      </c>
      <c r="H27" s="8" t="s">
        <v>268</v>
      </c>
      <c r="I27" s="8" t="s">
        <v>263</v>
      </c>
      <c r="J27" s="12" t="s">
        <v>110</v>
      </c>
      <c r="K27" s="8" t="s">
        <v>111</v>
      </c>
      <c r="L27" s="12"/>
    </row>
    <row r="28" spans="1:12" ht="25.5" x14ac:dyDescent="0.25">
      <c r="A28" s="17" t="s">
        <v>269</v>
      </c>
      <c r="B28" s="8" t="s">
        <v>16</v>
      </c>
      <c r="C28" s="8" t="s">
        <v>13</v>
      </c>
      <c r="D28" s="12" t="s">
        <v>270</v>
      </c>
      <c r="E28" s="12" t="s">
        <v>271</v>
      </c>
      <c r="F28" s="12" t="s">
        <v>272</v>
      </c>
      <c r="G28" s="12" t="s">
        <v>273</v>
      </c>
      <c r="H28" s="8" t="s">
        <v>274</v>
      </c>
      <c r="I28" s="8" t="s">
        <v>275</v>
      </c>
      <c r="J28" s="12" t="s">
        <v>110</v>
      </c>
      <c r="K28" s="8" t="s">
        <v>111</v>
      </c>
      <c r="L28" s="12"/>
    </row>
    <row r="29" spans="1:12" ht="51" x14ac:dyDescent="0.25">
      <c r="A29" s="17" t="s">
        <v>276</v>
      </c>
      <c r="B29" s="8" t="s">
        <v>16</v>
      </c>
      <c r="C29" s="8" t="s">
        <v>14</v>
      </c>
      <c r="D29" s="12" t="s">
        <v>277</v>
      </c>
      <c r="E29" s="12" t="s">
        <v>278</v>
      </c>
      <c r="F29" s="12" t="s">
        <v>279</v>
      </c>
      <c r="G29" s="12" t="s">
        <v>280</v>
      </c>
      <c r="H29" s="8" t="s">
        <v>281</v>
      </c>
      <c r="I29" s="8" t="s">
        <v>282</v>
      </c>
      <c r="J29" s="12" t="s">
        <v>110</v>
      </c>
      <c r="K29" s="8" t="s">
        <v>111</v>
      </c>
      <c r="L29" s="12"/>
    </row>
    <row r="30" spans="1:12" ht="25.5" x14ac:dyDescent="0.25">
      <c r="A30" s="17" t="s">
        <v>283</v>
      </c>
      <c r="B30" s="8" t="s">
        <v>16</v>
      </c>
      <c r="C30" s="8" t="s">
        <v>13</v>
      </c>
      <c r="D30" s="12" t="s">
        <v>284</v>
      </c>
      <c r="E30" s="12" t="s">
        <v>285</v>
      </c>
      <c r="F30" s="12" t="s">
        <v>286</v>
      </c>
      <c r="G30" s="12" t="s">
        <v>287</v>
      </c>
      <c r="H30" s="8" t="s">
        <v>192</v>
      </c>
      <c r="I30" s="8" t="s">
        <v>288</v>
      </c>
      <c r="J30" s="12" t="s">
        <v>110</v>
      </c>
      <c r="K30" s="8" t="s">
        <v>111</v>
      </c>
      <c r="L30" s="12"/>
    </row>
    <row r="31" spans="1:12" ht="25.5" x14ac:dyDescent="0.25">
      <c r="A31" s="17" t="s">
        <v>289</v>
      </c>
      <c r="B31" s="8" t="s">
        <v>16</v>
      </c>
      <c r="C31" s="8" t="s">
        <v>13</v>
      </c>
      <c r="D31" s="12" t="s">
        <v>290</v>
      </c>
      <c r="E31" s="12" t="s">
        <v>291</v>
      </c>
      <c r="F31" s="12" t="s">
        <v>292</v>
      </c>
      <c r="G31" s="12" t="s">
        <v>293</v>
      </c>
      <c r="H31" s="8"/>
      <c r="I31" s="8"/>
      <c r="J31" s="12" t="s">
        <v>110</v>
      </c>
      <c r="K31" s="8" t="s">
        <v>111</v>
      </c>
      <c r="L31" s="12"/>
    </row>
    <row r="32" spans="1:12" ht="38.25" x14ac:dyDescent="0.25">
      <c r="A32" s="17" t="s">
        <v>294</v>
      </c>
      <c r="B32" s="8" t="s">
        <v>16</v>
      </c>
      <c r="C32" s="8" t="s">
        <v>12</v>
      </c>
      <c r="D32" s="12" t="s">
        <v>295</v>
      </c>
      <c r="E32" s="12" t="s">
        <v>296</v>
      </c>
      <c r="F32" s="12" t="s">
        <v>297</v>
      </c>
      <c r="G32" s="12" t="s">
        <v>298</v>
      </c>
      <c r="H32" s="8" t="s">
        <v>299</v>
      </c>
      <c r="I32" s="8"/>
      <c r="J32" s="12" t="s">
        <v>110</v>
      </c>
      <c r="K32" s="8" t="s">
        <v>111</v>
      </c>
      <c r="L32" s="12"/>
    </row>
    <row r="33" spans="1:12" ht="38.25" x14ac:dyDescent="0.25">
      <c r="A33" s="17" t="s">
        <v>300</v>
      </c>
      <c r="B33" s="8" t="s">
        <v>16</v>
      </c>
      <c r="C33" s="8" t="s">
        <v>13</v>
      </c>
      <c r="D33" s="12" t="s">
        <v>301</v>
      </c>
      <c r="E33" s="12" t="s">
        <v>302</v>
      </c>
      <c r="F33" s="12" t="s">
        <v>303</v>
      </c>
      <c r="G33" s="12" t="s">
        <v>304</v>
      </c>
      <c r="H33" s="8" t="s">
        <v>305</v>
      </c>
      <c r="I33" s="8"/>
      <c r="J33" s="12" t="s">
        <v>110</v>
      </c>
      <c r="K33" s="8" t="s">
        <v>111</v>
      </c>
      <c r="L33" s="12"/>
    </row>
    <row r="34" spans="1:12" ht="51" x14ac:dyDescent="0.25">
      <c r="A34" s="17" t="s">
        <v>306</v>
      </c>
      <c r="B34" s="8" t="s">
        <v>16</v>
      </c>
      <c r="C34" s="8" t="s">
        <v>14</v>
      </c>
      <c r="D34" s="12" t="s">
        <v>307</v>
      </c>
      <c r="E34" s="12" t="s">
        <v>308</v>
      </c>
      <c r="F34" s="12" t="s">
        <v>309</v>
      </c>
      <c r="G34" s="12" t="s">
        <v>310</v>
      </c>
      <c r="H34" s="8"/>
      <c r="I34" s="8"/>
      <c r="J34" s="12" t="s">
        <v>110</v>
      </c>
      <c r="K34" s="8" t="s">
        <v>111</v>
      </c>
      <c r="L34" s="12"/>
    </row>
    <row r="35" spans="1:12" ht="38.25" x14ac:dyDescent="0.25">
      <c r="A35" s="17" t="s">
        <v>311</v>
      </c>
      <c r="B35" s="8" t="s">
        <v>16</v>
      </c>
      <c r="C35" s="8" t="s">
        <v>14</v>
      </c>
      <c r="D35" s="12" t="s">
        <v>312</v>
      </c>
      <c r="E35" s="12" t="s">
        <v>313</v>
      </c>
      <c r="F35" s="12" t="s">
        <v>314</v>
      </c>
      <c r="G35" s="12" t="s">
        <v>315</v>
      </c>
      <c r="H35" s="8" t="s">
        <v>316</v>
      </c>
      <c r="I35" s="8"/>
      <c r="J35" s="12" t="s">
        <v>110</v>
      </c>
      <c r="K35" s="8" t="s">
        <v>111</v>
      </c>
      <c r="L35" s="12"/>
    </row>
    <row r="36" spans="1:12" ht="25.5" x14ac:dyDescent="0.25">
      <c r="A36" s="17" t="s">
        <v>317</v>
      </c>
      <c r="B36" s="8" t="s">
        <v>16</v>
      </c>
      <c r="C36" s="8" t="s">
        <v>12</v>
      </c>
      <c r="D36" s="12" t="s">
        <v>318</v>
      </c>
      <c r="E36" s="12" t="s">
        <v>319</v>
      </c>
      <c r="F36" s="12" t="s">
        <v>320</v>
      </c>
      <c r="G36" s="12" t="s">
        <v>321</v>
      </c>
      <c r="H36" s="8"/>
      <c r="I36" s="8" t="s">
        <v>322</v>
      </c>
      <c r="J36" s="12" t="s">
        <v>110</v>
      </c>
      <c r="K36" s="8" t="s">
        <v>111</v>
      </c>
      <c r="L36" s="12"/>
    </row>
    <row r="37" spans="1:12" ht="38.25" x14ac:dyDescent="0.25">
      <c r="A37" s="17" t="s">
        <v>323</v>
      </c>
      <c r="B37" s="8" t="s">
        <v>16</v>
      </c>
      <c r="C37" s="8" t="s">
        <v>14</v>
      </c>
      <c r="D37" s="12" t="s">
        <v>324</v>
      </c>
      <c r="E37" s="12" t="s">
        <v>325</v>
      </c>
      <c r="F37" s="12" t="s">
        <v>326</v>
      </c>
      <c r="G37" s="12" t="s">
        <v>327</v>
      </c>
      <c r="H37" s="8" t="s">
        <v>328</v>
      </c>
      <c r="I37" s="8" t="s">
        <v>329</v>
      </c>
      <c r="J37" s="12" t="s">
        <v>110</v>
      </c>
      <c r="K37" s="8" t="s">
        <v>111</v>
      </c>
      <c r="L37" s="12" t="s">
        <v>330</v>
      </c>
    </row>
    <row r="38" spans="1:12" ht="38.25" x14ac:dyDescent="0.25">
      <c r="A38" s="17" t="s">
        <v>331</v>
      </c>
      <c r="B38" s="8" t="s">
        <v>16</v>
      </c>
      <c r="C38" s="8" t="s">
        <v>14</v>
      </c>
      <c r="D38" s="12" t="s">
        <v>332</v>
      </c>
      <c r="E38" s="12" t="s">
        <v>333</v>
      </c>
      <c r="F38" s="12" t="s">
        <v>334</v>
      </c>
      <c r="G38" s="12" t="s">
        <v>327</v>
      </c>
      <c r="H38" s="8" t="s">
        <v>335</v>
      </c>
      <c r="I38" s="8" t="s">
        <v>336</v>
      </c>
      <c r="J38" s="12" t="s">
        <v>110</v>
      </c>
      <c r="K38" s="8" t="s">
        <v>111</v>
      </c>
      <c r="L38" s="12" t="s">
        <v>337</v>
      </c>
    </row>
    <row r="39" spans="1:12" ht="38.25" x14ac:dyDescent="0.25">
      <c r="A39" s="17" t="s">
        <v>338</v>
      </c>
      <c r="B39" s="8" t="s">
        <v>18</v>
      </c>
      <c r="C39" s="8" t="s">
        <v>13</v>
      </c>
      <c r="D39" s="12" t="s">
        <v>339</v>
      </c>
      <c r="E39" s="12" t="s">
        <v>340</v>
      </c>
      <c r="F39" s="12" t="s">
        <v>341</v>
      </c>
      <c r="G39" s="12" t="s">
        <v>116</v>
      </c>
      <c r="H39" s="8" t="s">
        <v>342</v>
      </c>
      <c r="I39" s="8" t="s">
        <v>118</v>
      </c>
      <c r="J39" s="12" t="s">
        <v>110</v>
      </c>
      <c r="K39" s="8" t="s">
        <v>111</v>
      </c>
      <c r="L39" s="12"/>
    </row>
    <row r="40" spans="1:12" ht="25.5" x14ac:dyDescent="0.25">
      <c r="A40" s="17" t="s">
        <v>343</v>
      </c>
      <c r="B40" s="8" t="s">
        <v>18</v>
      </c>
      <c r="C40" s="8" t="s">
        <v>13</v>
      </c>
      <c r="D40" s="12" t="s">
        <v>344</v>
      </c>
      <c r="E40" s="12" t="s">
        <v>345</v>
      </c>
      <c r="F40" s="12" t="s">
        <v>346</v>
      </c>
      <c r="G40" s="12" t="s">
        <v>347</v>
      </c>
      <c r="H40" s="8" t="s">
        <v>348</v>
      </c>
      <c r="I40" s="8" t="s">
        <v>349</v>
      </c>
      <c r="J40" s="12" t="s">
        <v>110</v>
      </c>
      <c r="K40" s="8" t="s">
        <v>111</v>
      </c>
      <c r="L40" s="12"/>
    </row>
    <row r="41" spans="1:12" ht="63.75" x14ac:dyDescent="0.25">
      <c r="A41" s="17" t="s">
        <v>350</v>
      </c>
      <c r="B41" s="8" t="s">
        <v>18</v>
      </c>
      <c r="C41" s="8" t="s">
        <v>14</v>
      </c>
      <c r="D41" s="12" t="s">
        <v>351</v>
      </c>
      <c r="E41" s="12" t="s">
        <v>352</v>
      </c>
      <c r="F41" s="12" t="s">
        <v>353</v>
      </c>
      <c r="G41" s="12" t="s">
        <v>354</v>
      </c>
      <c r="H41" s="8"/>
      <c r="I41" s="8" t="s">
        <v>118</v>
      </c>
      <c r="J41" s="12" t="s">
        <v>110</v>
      </c>
      <c r="K41" s="8" t="s">
        <v>111</v>
      </c>
      <c r="L41" s="12"/>
    </row>
    <row r="42" spans="1:12" ht="38.25" x14ac:dyDescent="0.25">
      <c r="A42" s="17" t="s">
        <v>355</v>
      </c>
      <c r="B42" s="8" t="s">
        <v>18</v>
      </c>
      <c r="C42" s="8" t="s">
        <v>13</v>
      </c>
      <c r="D42" s="12" t="s">
        <v>356</v>
      </c>
      <c r="E42" s="12" t="s">
        <v>357</v>
      </c>
      <c r="F42" s="12" t="s">
        <v>358</v>
      </c>
      <c r="G42" s="12" t="s">
        <v>359</v>
      </c>
      <c r="H42" s="8" t="s">
        <v>360</v>
      </c>
      <c r="I42" s="8"/>
      <c r="J42" s="12" t="s">
        <v>110</v>
      </c>
      <c r="K42" s="8" t="s">
        <v>111</v>
      </c>
      <c r="L42" s="12"/>
    </row>
    <row r="43" spans="1:12" ht="51" x14ac:dyDescent="0.25">
      <c r="A43" s="17" t="s">
        <v>361</v>
      </c>
      <c r="B43" s="8" t="s">
        <v>18</v>
      </c>
      <c r="C43" s="8" t="s">
        <v>14</v>
      </c>
      <c r="D43" s="12" t="s">
        <v>362</v>
      </c>
      <c r="E43" s="12" t="s">
        <v>363</v>
      </c>
      <c r="F43" s="12" t="s">
        <v>364</v>
      </c>
      <c r="G43" s="12" t="s">
        <v>365</v>
      </c>
      <c r="H43" s="8" t="s">
        <v>366</v>
      </c>
      <c r="I43" s="8" t="s">
        <v>118</v>
      </c>
      <c r="J43" s="12" t="s">
        <v>110</v>
      </c>
      <c r="K43" s="8" t="s">
        <v>111</v>
      </c>
      <c r="L43" s="12"/>
    </row>
    <row r="44" spans="1:12" ht="51" x14ac:dyDescent="0.25">
      <c r="A44" s="17" t="s">
        <v>367</v>
      </c>
      <c r="B44" s="8" t="s">
        <v>18</v>
      </c>
      <c r="C44" s="8" t="s">
        <v>13</v>
      </c>
      <c r="D44" s="12" t="s">
        <v>368</v>
      </c>
      <c r="E44" s="12" t="s">
        <v>369</v>
      </c>
      <c r="F44" s="12" t="s">
        <v>370</v>
      </c>
      <c r="G44" s="12" t="s">
        <v>371</v>
      </c>
      <c r="H44" s="8" t="s">
        <v>372</v>
      </c>
      <c r="I44" s="8" t="s">
        <v>109</v>
      </c>
      <c r="J44" s="12" t="s">
        <v>110</v>
      </c>
      <c r="K44" s="8" t="s">
        <v>111</v>
      </c>
      <c r="L44" s="12"/>
    </row>
    <row r="45" spans="1:12" ht="51" x14ac:dyDescent="0.25">
      <c r="A45" s="17" t="s">
        <v>373</v>
      </c>
      <c r="B45" s="8" t="s">
        <v>18</v>
      </c>
      <c r="C45" s="8" t="s">
        <v>13</v>
      </c>
      <c r="D45" s="12" t="s">
        <v>374</v>
      </c>
      <c r="E45" s="12" t="s">
        <v>375</v>
      </c>
      <c r="F45" s="12" t="s">
        <v>376</v>
      </c>
      <c r="G45" s="12" t="s">
        <v>377</v>
      </c>
      <c r="H45" s="8" t="s">
        <v>378</v>
      </c>
      <c r="I45" s="8" t="s">
        <v>322</v>
      </c>
      <c r="J45" s="12" t="s">
        <v>110</v>
      </c>
      <c r="K45" s="8" t="s">
        <v>111</v>
      </c>
      <c r="L45" s="12"/>
    </row>
    <row r="46" spans="1:12" ht="63.75" x14ac:dyDescent="0.25">
      <c r="A46" s="17" t="s">
        <v>379</v>
      </c>
      <c r="B46" s="8" t="s">
        <v>18</v>
      </c>
      <c r="C46" s="8" t="s">
        <v>13</v>
      </c>
      <c r="D46" s="12" t="s">
        <v>380</v>
      </c>
      <c r="E46" s="12" t="s">
        <v>381</v>
      </c>
      <c r="F46" s="12" t="s">
        <v>382</v>
      </c>
      <c r="G46" s="12" t="s">
        <v>383</v>
      </c>
      <c r="H46" s="8" t="s">
        <v>384</v>
      </c>
      <c r="I46" s="8" t="s">
        <v>193</v>
      </c>
      <c r="J46" s="12" t="s">
        <v>110</v>
      </c>
      <c r="K46" s="8" t="s">
        <v>111</v>
      </c>
      <c r="L46" s="12"/>
    </row>
    <row r="47" spans="1:12" ht="63.75" x14ac:dyDescent="0.25">
      <c r="A47" s="17" t="s">
        <v>385</v>
      </c>
      <c r="B47" s="8" t="s">
        <v>18</v>
      </c>
      <c r="C47" s="8" t="s">
        <v>14</v>
      </c>
      <c r="D47" s="12" t="s">
        <v>386</v>
      </c>
      <c r="E47" s="12" t="s">
        <v>387</v>
      </c>
      <c r="F47" s="12" t="s">
        <v>388</v>
      </c>
      <c r="G47" s="12" t="s">
        <v>389</v>
      </c>
      <c r="H47" s="8" t="s">
        <v>390</v>
      </c>
      <c r="I47" s="8" t="s">
        <v>391</v>
      </c>
      <c r="J47" s="12" t="s">
        <v>110</v>
      </c>
      <c r="K47" s="8" t="s">
        <v>111</v>
      </c>
      <c r="L47" s="12"/>
    </row>
    <row r="48" spans="1:12" ht="51" x14ac:dyDescent="0.25">
      <c r="A48" s="17" t="s">
        <v>392</v>
      </c>
      <c r="B48" s="8" t="s">
        <v>18</v>
      </c>
      <c r="C48" s="8" t="s">
        <v>13</v>
      </c>
      <c r="D48" s="12" t="s">
        <v>393</v>
      </c>
      <c r="E48" s="12" t="s">
        <v>394</v>
      </c>
      <c r="F48" s="12" t="s">
        <v>395</v>
      </c>
      <c r="G48" s="12" t="s">
        <v>396</v>
      </c>
      <c r="H48" s="8" t="s">
        <v>397</v>
      </c>
      <c r="I48" s="8" t="s">
        <v>219</v>
      </c>
      <c r="J48" s="12" t="s">
        <v>110</v>
      </c>
      <c r="K48" s="8" t="s">
        <v>111</v>
      </c>
      <c r="L48" s="12"/>
    </row>
    <row r="49" spans="1:12" ht="63.75" x14ac:dyDescent="0.25">
      <c r="A49" s="17" t="s">
        <v>398</v>
      </c>
      <c r="B49" s="8" t="s">
        <v>18</v>
      </c>
      <c r="C49" s="8" t="s">
        <v>14</v>
      </c>
      <c r="D49" s="12" t="s">
        <v>399</v>
      </c>
      <c r="E49" s="12" t="s">
        <v>400</v>
      </c>
      <c r="F49" s="12" t="s">
        <v>401</v>
      </c>
      <c r="G49" s="12" t="s">
        <v>402</v>
      </c>
      <c r="H49" s="8" t="s">
        <v>403</v>
      </c>
      <c r="I49" s="8" t="s">
        <v>349</v>
      </c>
      <c r="J49" s="12" t="s">
        <v>110</v>
      </c>
      <c r="K49" s="8" t="s">
        <v>111</v>
      </c>
      <c r="L49" s="12"/>
    </row>
    <row r="50" spans="1:12" ht="63.75" x14ac:dyDescent="0.25">
      <c r="A50" s="17" t="s">
        <v>404</v>
      </c>
      <c r="B50" s="8" t="s">
        <v>18</v>
      </c>
      <c r="C50" s="8" t="s">
        <v>14</v>
      </c>
      <c r="D50" s="12" t="s">
        <v>405</v>
      </c>
      <c r="E50" s="12" t="s">
        <v>406</v>
      </c>
      <c r="F50" s="12" t="s">
        <v>407</v>
      </c>
      <c r="G50" s="12" t="s">
        <v>408</v>
      </c>
      <c r="H50" s="8" t="s">
        <v>409</v>
      </c>
      <c r="I50" s="8" t="s">
        <v>118</v>
      </c>
      <c r="J50" s="12" t="s">
        <v>110</v>
      </c>
      <c r="K50" s="8" t="s">
        <v>111</v>
      </c>
      <c r="L50" s="12"/>
    </row>
    <row r="51" spans="1:12" ht="102" x14ac:dyDescent="0.25">
      <c r="A51" s="17" t="s">
        <v>410</v>
      </c>
      <c r="B51" s="8" t="s">
        <v>18</v>
      </c>
      <c r="C51" s="8" t="s">
        <v>13</v>
      </c>
      <c r="D51" s="12" t="s">
        <v>411</v>
      </c>
      <c r="E51" s="12" t="s">
        <v>412</v>
      </c>
      <c r="F51" s="12" t="s">
        <v>413</v>
      </c>
      <c r="G51" s="12" t="s">
        <v>414</v>
      </c>
      <c r="H51" s="8" t="s">
        <v>415</v>
      </c>
      <c r="I51" s="8" t="s">
        <v>416</v>
      </c>
      <c r="J51" s="12" t="s">
        <v>110</v>
      </c>
      <c r="K51" s="8" t="s">
        <v>111</v>
      </c>
      <c r="L51" s="12"/>
    </row>
    <row r="52" spans="1:12" ht="63.75" x14ac:dyDescent="0.25">
      <c r="A52" s="17" t="s">
        <v>417</v>
      </c>
      <c r="B52" s="8" t="s">
        <v>18</v>
      </c>
      <c r="C52" s="8" t="s">
        <v>14</v>
      </c>
      <c r="D52" s="12" t="s">
        <v>418</v>
      </c>
      <c r="E52" s="12" t="s">
        <v>419</v>
      </c>
      <c r="F52" s="12" t="s">
        <v>420</v>
      </c>
      <c r="G52" s="12" t="s">
        <v>421</v>
      </c>
      <c r="H52" s="8" t="s">
        <v>422</v>
      </c>
      <c r="I52" s="8" t="s">
        <v>423</v>
      </c>
      <c r="J52" s="12" t="s">
        <v>110</v>
      </c>
      <c r="K52" s="8" t="s">
        <v>111</v>
      </c>
      <c r="L52" s="12"/>
    </row>
    <row r="53" spans="1:12" ht="63.75" x14ac:dyDescent="0.25">
      <c r="A53" s="17" t="s">
        <v>424</v>
      </c>
      <c r="B53" s="8" t="s">
        <v>18</v>
      </c>
      <c r="C53" s="8" t="s">
        <v>14</v>
      </c>
      <c r="D53" s="12" t="s">
        <v>425</v>
      </c>
      <c r="E53" s="12" t="s">
        <v>426</v>
      </c>
      <c r="F53" s="12" t="s">
        <v>427</v>
      </c>
      <c r="G53" s="12" t="s">
        <v>428</v>
      </c>
      <c r="H53" s="8" t="s">
        <v>429</v>
      </c>
      <c r="I53" s="8" t="s">
        <v>430</v>
      </c>
      <c r="J53" s="12" t="s">
        <v>110</v>
      </c>
      <c r="K53" s="8" t="s">
        <v>111</v>
      </c>
      <c r="L53" s="12" t="s">
        <v>431</v>
      </c>
    </row>
    <row r="54" spans="1:12" ht="38.25" x14ac:dyDescent="0.25">
      <c r="A54" s="17" t="s">
        <v>432</v>
      </c>
      <c r="B54" s="8" t="s">
        <v>19</v>
      </c>
      <c r="C54" s="8" t="s">
        <v>13</v>
      </c>
      <c r="D54" s="12" t="s">
        <v>433</v>
      </c>
      <c r="E54" s="12" t="s">
        <v>434</v>
      </c>
      <c r="F54" s="12" t="s">
        <v>435</v>
      </c>
      <c r="G54" s="12" t="s">
        <v>177</v>
      </c>
      <c r="H54" s="8" t="s">
        <v>436</v>
      </c>
      <c r="I54" s="8" t="s">
        <v>179</v>
      </c>
      <c r="J54" s="12" t="s">
        <v>110</v>
      </c>
      <c r="K54" s="8" t="s">
        <v>111</v>
      </c>
      <c r="L54" s="12" t="s">
        <v>437</v>
      </c>
    </row>
    <row r="55" spans="1:12" ht="38.25" x14ac:dyDescent="0.25">
      <c r="A55" s="17" t="s">
        <v>438</v>
      </c>
      <c r="B55" s="8" t="s">
        <v>19</v>
      </c>
      <c r="C55" s="8" t="s">
        <v>13</v>
      </c>
      <c r="D55" s="12" t="s">
        <v>439</v>
      </c>
      <c r="E55" s="12" t="s">
        <v>440</v>
      </c>
      <c r="F55" s="12" t="s">
        <v>441</v>
      </c>
      <c r="G55" s="12" t="s">
        <v>442</v>
      </c>
      <c r="H55" s="8" t="s">
        <v>436</v>
      </c>
      <c r="I55" s="8" t="s">
        <v>443</v>
      </c>
      <c r="J55" s="12" t="s">
        <v>110</v>
      </c>
      <c r="K55" s="8" t="s">
        <v>111</v>
      </c>
      <c r="L55" s="12" t="s">
        <v>444</v>
      </c>
    </row>
    <row r="56" spans="1:12" ht="38.25" x14ac:dyDescent="0.25">
      <c r="A56" s="17" t="s">
        <v>445</v>
      </c>
      <c r="B56" s="8" t="s">
        <v>19</v>
      </c>
      <c r="C56" s="8" t="s">
        <v>13</v>
      </c>
      <c r="D56" s="12" t="s">
        <v>446</v>
      </c>
      <c r="E56" s="12" t="s">
        <v>447</v>
      </c>
      <c r="F56" s="12" t="s">
        <v>448</v>
      </c>
      <c r="G56" s="12" t="s">
        <v>315</v>
      </c>
      <c r="H56" s="8" t="s">
        <v>360</v>
      </c>
      <c r="I56" s="8"/>
      <c r="J56" s="12" t="s">
        <v>110</v>
      </c>
      <c r="K56" s="8" t="s">
        <v>111</v>
      </c>
      <c r="L56" s="12" t="s">
        <v>449</v>
      </c>
    </row>
    <row r="57" spans="1:12" ht="38.25" x14ac:dyDescent="0.25">
      <c r="A57" s="17" t="s">
        <v>450</v>
      </c>
      <c r="B57" s="8" t="s">
        <v>19</v>
      </c>
      <c r="C57" s="8" t="s">
        <v>14</v>
      </c>
      <c r="D57" s="12" t="s">
        <v>451</v>
      </c>
      <c r="E57" s="12" t="s">
        <v>452</v>
      </c>
      <c r="F57" s="12" t="s">
        <v>453</v>
      </c>
      <c r="G57" s="12" t="s">
        <v>293</v>
      </c>
      <c r="H57" s="8" t="s">
        <v>454</v>
      </c>
      <c r="I57" s="8"/>
      <c r="J57" s="12" t="s">
        <v>110</v>
      </c>
      <c r="K57" s="8" t="s">
        <v>111</v>
      </c>
      <c r="L57" s="12"/>
    </row>
    <row r="58" spans="1:12" ht="63.75" x14ac:dyDescent="0.25">
      <c r="A58" s="17" t="s">
        <v>455</v>
      </c>
      <c r="B58" s="8" t="s">
        <v>19</v>
      </c>
      <c r="C58" s="8" t="s">
        <v>12</v>
      </c>
      <c r="D58" s="12" t="s">
        <v>456</v>
      </c>
      <c r="E58" s="12" t="s">
        <v>457</v>
      </c>
      <c r="F58" s="12" t="s">
        <v>458</v>
      </c>
      <c r="G58" s="12" t="s">
        <v>191</v>
      </c>
      <c r="H58" s="8" t="s">
        <v>459</v>
      </c>
      <c r="I58" s="8" t="s">
        <v>193</v>
      </c>
      <c r="J58" s="12" t="s">
        <v>110</v>
      </c>
      <c r="K58" s="8" t="s">
        <v>111</v>
      </c>
      <c r="L58" s="12" t="s">
        <v>460</v>
      </c>
    </row>
    <row r="59" spans="1:12" ht="76.5" x14ac:dyDescent="0.25">
      <c r="A59" s="17" t="s">
        <v>461</v>
      </c>
      <c r="B59" s="8" t="s">
        <v>19</v>
      </c>
      <c r="C59" s="8" t="s">
        <v>13</v>
      </c>
      <c r="D59" s="12" t="s">
        <v>462</v>
      </c>
      <c r="E59" s="12" t="s">
        <v>463</v>
      </c>
      <c r="F59" s="12" t="s">
        <v>464</v>
      </c>
      <c r="G59" s="12" t="s">
        <v>191</v>
      </c>
      <c r="H59" s="8" t="s">
        <v>465</v>
      </c>
      <c r="I59" s="8" t="s">
        <v>193</v>
      </c>
      <c r="J59" s="12" t="s">
        <v>110</v>
      </c>
      <c r="K59" s="8" t="s">
        <v>111</v>
      </c>
      <c r="L59" s="12"/>
    </row>
    <row r="60" spans="1:12" ht="38.25" x14ac:dyDescent="0.25">
      <c r="A60" s="17" t="s">
        <v>466</v>
      </c>
      <c r="B60" s="8" t="s">
        <v>19</v>
      </c>
      <c r="C60" s="8" t="s">
        <v>13</v>
      </c>
      <c r="D60" s="12" t="s">
        <v>467</v>
      </c>
      <c r="E60" s="12" t="s">
        <v>468</v>
      </c>
      <c r="F60" s="12" t="s">
        <v>469</v>
      </c>
      <c r="G60" s="12" t="s">
        <v>280</v>
      </c>
      <c r="H60" s="8" t="s">
        <v>470</v>
      </c>
      <c r="I60" s="8" t="s">
        <v>282</v>
      </c>
      <c r="J60" s="12" t="s">
        <v>110</v>
      </c>
      <c r="K60" s="8" t="s">
        <v>111</v>
      </c>
      <c r="L60" s="12" t="s">
        <v>471</v>
      </c>
    </row>
    <row r="61" spans="1:12" ht="63.75" x14ac:dyDescent="0.25">
      <c r="A61" s="17" t="s">
        <v>472</v>
      </c>
      <c r="B61" s="8" t="s">
        <v>19</v>
      </c>
      <c r="C61" s="8" t="s">
        <v>14</v>
      </c>
      <c r="D61" s="12" t="s">
        <v>473</v>
      </c>
      <c r="E61" s="12" t="s">
        <v>474</v>
      </c>
      <c r="F61" s="12" t="s">
        <v>164</v>
      </c>
      <c r="G61" s="12" t="s">
        <v>165</v>
      </c>
      <c r="H61" s="8" t="s">
        <v>475</v>
      </c>
      <c r="I61" s="8" t="s">
        <v>167</v>
      </c>
      <c r="J61" s="12" t="s">
        <v>110</v>
      </c>
      <c r="K61" s="8" t="s">
        <v>111</v>
      </c>
      <c r="L61" s="12" t="s">
        <v>476</v>
      </c>
    </row>
    <row r="62" spans="1:12" ht="51" x14ac:dyDescent="0.25">
      <c r="A62" s="17" t="s">
        <v>477</v>
      </c>
      <c r="B62" s="8" t="s">
        <v>19</v>
      </c>
      <c r="C62" s="8" t="s">
        <v>13</v>
      </c>
      <c r="D62" s="12" t="s">
        <v>478</v>
      </c>
      <c r="E62" s="12" t="s">
        <v>479</v>
      </c>
      <c r="F62" s="12" t="s">
        <v>480</v>
      </c>
      <c r="G62" s="12" t="s">
        <v>262</v>
      </c>
      <c r="H62" s="8" t="s">
        <v>481</v>
      </c>
      <c r="I62" s="8" t="s">
        <v>263</v>
      </c>
      <c r="J62" s="12" t="s">
        <v>110</v>
      </c>
      <c r="K62" s="8" t="s">
        <v>111</v>
      </c>
      <c r="L62" s="12"/>
    </row>
    <row r="63" spans="1:12" ht="25.5" x14ac:dyDescent="0.25">
      <c r="A63" s="17" t="s">
        <v>482</v>
      </c>
      <c r="B63" s="8" t="s">
        <v>19</v>
      </c>
      <c r="C63" s="8" t="s">
        <v>13</v>
      </c>
      <c r="D63" s="12" t="s">
        <v>483</v>
      </c>
      <c r="E63" s="12" t="s">
        <v>484</v>
      </c>
      <c r="F63" s="12" t="s">
        <v>485</v>
      </c>
      <c r="G63" s="12" t="s">
        <v>486</v>
      </c>
      <c r="H63" s="8" t="s">
        <v>487</v>
      </c>
      <c r="I63" s="8" t="s">
        <v>118</v>
      </c>
      <c r="J63" s="12" t="s">
        <v>110</v>
      </c>
      <c r="K63" s="8" t="s">
        <v>111</v>
      </c>
      <c r="L63" s="12" t="s">
        <v>488</v>
      </c>
    </row>
    <row r="64" spans="1:12" ht="102" x14ac:dyDescent="0.25">
      <c r="A64" s="17" t="s">
        <v>489</v>
      </c>
      <c r="B64" s="8" t="s">
        <v>20</v>
      </c>
      <c r="C64" s="8" t="s">
        <v>12</v>
      </c>
      <c r="D64" s="12" t="s">
        <v>490</v>
      </c>
      <c r="E64" s="12" t="s">
        <v>491</v>
      </c>
      <c r="F64" s="12" t="s">
        <v>492</v>
      </c>
      <c r="G64" s="12" t="s">
        <v>493</v>
      </c>
      <c r="H64" s="8" t="s">
        <v>494</v>
      </c>
      <c r="I64" s="8" t="s">
        <v>495</v>
      </c>
      <c r="J64" s="12" t="s">
        <v>110</v>
      </c>
      <c r="K64" s="8" t="s">
        <v>111</v>
      </c>
      <c r="L64" s="12"/>
    </row>
    <row r="65" spans="1:12" ht="76.5" x14ac:dyDescent="0.25">
      <c r="A65" s="17" t="s">
        <v>496</v>
      </c>
      <c r="B65" s="8" t="s">
        <v>20</v>
      </c>
      <c r="C65" s="8" t="s">
        <v>12</v>
      </c>
      <c r="D65" s="12" t="s">
        <v>497</v>
      </c>
      <c r="E65" s="12" t="s">
        <v>498</v>
      </c>
      <c r="F65" s="12" t="s">
        <v>499</v>
      </c>
      <c r="G65" s="12" t="s">
        <v>500</v>
      </c>
      <c r="H65" s="8" t="s">
        <v>117</v>
      </c>
      <c r="I65" s="8" t="s">
        <v>349</v>
      </c>
      <c r="J65" s="12" t="s">
        <v>110</v>
      </c>
      <c r="K65" s="8" t="s">
        <v>111</v>
      </c>
      <c r="L65" s="12"/>
    </row>
    <row r="66" spans="1:12" ht="140.25" x14ac:dyDescent="0.25">
      <c r="A66" s="17" t="s">
        <v>501</v>
      </c>
      <c r="B66" s="8" t="s">
        <v>20</v>
      </c>
      <c r="C66" s="8" t="s">
        <v>13</v>
      </c>
      <c r="D66" s="12" t="s">
        <v>502</v>
      </c>
      <c r="E66" s="12" t="s">
        <v>503</v>
      </c>
      <c r="F66" s="12" t="s">
        <v>504</v>
      </c>
      <c r="G66" s="12" t="s">
        <v>505</v>
      </c>
      <c r="H66" s="8" t="s">
        <v>506</v>
      </c>
      <c r="I66" s="8" t="s">
        <v>507</v>
      </c>
      <c r="J66" s="12" t="s">
        <v>110</v>
      </c>
      <c r="K66" s="8" t="s">
        <v>111</v>
      </c>
      <c r="L66" s="12"/>
    </row>
    <row r="67" spans="1:12" ht="38.25" x14ac:dyDescent="0.25">
      <c r="A67" s="17" t="s">
        <v>508</v>
      </c>
      <c r="B67" s="8" t="s">
        <v>20</v>
      </c>
      <c r="C67" s="8" t="s">
        <v>13</v>
      </c>
      <c r="D67" s="12" t="s">
        <v>509</v>
      </c>
      <c r="E67" s="12" t="s">
        <v>510</v>
      </c>
      <c r="F67" s="12" t="s">
        <v>511</v>
      </c>
      <c r="G67" s="12" t="s">
        <v>512</v>
      </c>
      <c r="H67" s="8" t="s">
        <v>513</v>
      </c>
      <c r="I67" s="8" t="s">
        <v>514</v>
      </c>
      <c r="J67" s="12" t="s">
        <v>110</v>
      </c>
      <c r="K67" s="8" t="s">
        <v>111</v>
      </c>
      <c r="L67" s="12"/>
    </row>
    <row r="68" spans="1:12" ht="51" x14ac:dyDescent="0.25">
      <c r="A68" s="17" t="s">
        <v>515</v>
      </c>
      <c r="B68" s="8" t="s">
        <v>20</v>
      </c>
      <c r="C68" s="8" t="s">
        <v>13</v>
      </c>
      <c r="D68" s="12" t="s">
        <v>516</v>
      </c>
      <c r="E68" s="12" t="s">
        <v>517</v>
      </c>
      <c r="F68" s="12" t="s">
        <v>518</v>
      </c>
      <c r="G68" s="12" t="s">
        <v>519</v>
      </c>
      <c r="H68" s="8" t="s">
        <v>520</v>
      </c>
      <c r="I68" s="8" t="s">
        <v>521</v>
      </c>
      <c r="J68" s="12" t="s">
        <v>110</v>
      </c>
      <c r="K68" s="8" t="s">
        <v>111</v>
      </c>
      <c r="L68" s="12"/>
    </row>
    <row r="69" spans="1:12" ht="89.25" x14ac:dyDescent="0.25">
      <c r="A69" s="17" t="s">
        <v>522</v>
      </c>
      <c r="B69" s="8" t="s">
        <v>20</v>
      </c>
      <c r="C69" s="8" t="s">
        <v>14</v>
      </c>
      <c r="D69" s="12" t="s">
        <v>523</v>
      </c>
      <c r="E69" s="12" t="s">
        <v>524</v>
      </c>
      <c r="F69" s="12" t="s">
        <v>525</v>
      </c>
      <c r="G69" s="12" t="s">
        <v>526</v>
      </c>
      <c r="H69" s="8" t="s">
        <v>527</v>
      </c>
      <c r="I69" s="8" t="s">
        <v>528</v>
      </c>
      <c r="J69" s="12" t="s">
        <v>110</v>
      </c>
      <c r="K69" s="8" t="s">
        <v>111</v>
      </c>
      <c r="L69" s="12"/>
    </row>
    <row r="70" spans="1:12" ht="51" x14ac:dyDescent="0.25">
      <c r="A70" s="17" t="s">
        <v>529</v>
      </c>
      <c r="B70" s="8" t="s">
        <v>20</v>
      </c>
      <c r="C70" s="8" t="s">
        <v>13</v>
      </c>
      <c r="D70" s="12" t="s">
        <v>530</v>
      </c>
      <c r="E70" s="12" t="s">
        <v>531</v>
      </c>
      <c r="F70" s="12" t="s">
        <v>532</v>
      </c>
      <c r="G70" s="12" t="s">
        <v>533</v>
      </c>
      <c r="H70" s="8" t="s">
        <v>534</v>
      </c>
      <c r="I70" s="8" t="s">
        <v>535</v>
      </c>
      <c r="J70" s="12" t="s">
        <v>110</v>
      </c>
      <c r="K70" s="8" t="s">
        <v>111</v>
      </c>
      <c r="L70" s="12"/>
    </row>
    <row r="71" spans="1:12" ht="51" x14ac:dyDescent="0.25">
      <c r="A71" s="17" t="s">
        <v>536</v>
      </c>
      <c r="B71" s="8" t="s">
        <v>20</v>
      </c>
      <c r="C71" s="8" t="s">
        <v>13</v>
      </c>
      <c r="D71" s="12" t="s">
        <v>537</v>
      </c>
      <c r="E71" s="12" t="s">
        <v>538</v>
      </c>
      <c r="F71" s="12" t="s">
        <v>539</v>
      </c>
      <c r="G71" s="12" t="s">
        <v>540</v>
      </c>
      <c r="H71" s="8" t="s">
        <v>129</v>
      </c>
      <c r="I71" s="8" t="s">
        <v>541</v>
      </c>
      <c r="J71" s="12" t="s">
        <v>110</v>
      </c>
      <c r="K71" s="8" t="s">
        <v>111</v>
      </c>
      <c r="L71" s="12"/>
    </row>
    <row r="72" spans="1:12" ht="51" x14ac:dyDescent="0.25">
      <c r="A72" s="17" t="s">
        <v>542</v>
      </c>
      <c r="B72" s="8" t="s">
        <v>20</v>
      </c>
      <c r="C72" s="8" t="s">
        <v>14</v>
      </c>
      <c r="D72" s="12" t="s">
        <v>543</v>
      </c>
      <c r="E72" s="12" t="s">
        <v>544</v>
      </c>
      <c r="F72" s="12" t="s">
        <v>545</v>
      </c>
      <c r="G72" s="12" t="s">
        <v>546</v>
      </c>
      <c r="H72" s="8" t="s">
        <v>547</v>
      </c>
      <c r="I72" s="8" t="s">
        <v>548</v>
      </c>
      <c r="J72" s="12" t="s">
        <v>110</v>
      </c>
      <c r="K72" s="8" t="s">
        <v>111</v>
      </c>
      <c r="L72" s="12"/>
    </row>
    <row r="73" spans="1:12" ht="38.25" x14ac:dyDescent="0.25">
      <c r="A73" s="17" t="s">
        <v>549</v>
      </c>
      <c r="B73" s="8" t="s">
        <v>21</v>
      </c>
      <c r="C73" s="8" t="s">
        <v>13</v>
      </c>
      <c r="D73" s="12" t="s">
        <v>550</v>
      </c>
      <c r="E73" s="12" t="s">
        <v>551</v>
      </c>
      <c r="F73" s="12"/>
      <c r="G73" s="12"/>
      <c r="H73" s="8"/>
      <c r="I73" s="8" t="s">
        <v>109</v>
      </c>
      <c r="J73" s="12" t="s">
        <v>552</v>
      </c>
      <c r="K73" s="8" t="s">
        <v>111</v>
      </c>
      <c r="L73" s="12" t="s">
        <v>553</v>
      </c>
    </row>
    <row r="74" spans="1:12" ht="25.5" x14ac:dyDescent="0.25">
      <c r="A74" s="17" t="s">
        <v>554</v>
      </c>
      <c r="B74" s="8" t="s">
        <v>21</v>
      </c>
      <c r="C74" s="8" t="s">
        <v>12</v>
      </c>
      <c r="D74" s="12" t="s">
        <v>555</v>
      </c>
      <c r="E74" s="12" t="s">
        <v>551</v>
      </c>
      <c r="F74" s="12"/>
      <c r="G74" s="12"/>
      <c r="H74" s="8"/>
      <c r="I74" s="8" t="s">
        <v>118</v>
      </c>
      <c r="J74" s="12" t="s">
        <v>552</v>
      </c>
      <c r="K74" s="8" t="s">
        <v>111</v>
      </c>
      <c r="L74" s="12"/>
    </row>
    <row r="75" spans="1:12" ht="51" x14ac:dyDescent="0.25">
      <c r="A75" s="17" t="s">
        <v>556</v>
      </c>
      <c r="B75" s="8" t="s">
        <v>16</v>
      </c>
      <c r="C75" s="8" t="s">
        <v>14</v>
      </c>
      <c r="D75" s="12" t="s">
        <v>557</v>
      </c>
      <c r="E75" s="12" t="s">
        <v>558</v>
      </c>
      <c r="F75" s="12" t="s">
        <v>559</v>
      </c>
      <c r="G75" s="12" t="s">
        <v>310</v>
      </c>
      <c r="H75" s="8" t="s">
        <v>145</v>
      </c>
      <c r="I75" s="8"/>
      <c r="J75" s="12" t="s">
        <v>110</v>
      </c>
      <c r="K75" s="8" t="s">
        <v>111</v>
      </c>
      <c r="L75" s="12" t="s">
        <v>560</v>
      </c>
    </row>
    <row r="76" spans="1:12" ht="25.5" x14ac:dyDescent="0.25">
      <c r="A76" s="17" t="s">
        <v>561</v>
      </c>
      <c r="B76" s="8" t="s">
        <v>21</v>
      </c>
      <c r="C76" s="8" t="s">
        <v>14</v>
      </c>
      <c r="D76" s="12" t="s">
        <v>562</v>
      </c>
      <c r="E76" s="12" t="s">
        <v>551</v>
      </c>
      <c r="F76" s="12"/>
      <c r="G76" s="12"/>
      <c r="H76" s="8"/>
      <c r="I76" s="8"/>
      <c r="J76" s="12" t="s">
        <v>552</v>
      </c>
      <c r="K76" s="8" t="s">
        <v>111</v>
      </c>
      <c r="L76" s="12" t="s">
        <v>563</v>
      </c>
    </row>
    <row r="77" spans="1:12" ht="25.5" x14ac:dyDescent="0.25">
      <c r="A77" s="17" t="s">
        <v>564</v>
      </c>
      <c r="B77" s="8" t="s">
        <v>21</v>
      </c>
      <c r="C77" s="8" t="s">
        <v>12</v>
      </c>
      <c r="D77" s="12" t="s">
        <v>565</v>
      </c>
      <c r="E77" s="12" t="s">
        <v>551</v>
      </c>
      <c r="F77" s="12"/>
      <c r="G77" s="12"/>
      <c r="H77" s="8"/>
      <c r="I77" s="8" t="s">
        <v>252</v>
      </c>
      <c r="J77" s="12" t="s">
        <v>552</v>
      </c>
      <c r="K77" s="8" t="s">
        <v>111</v>
      </c>
      <c r="L77" s="12" t="s">
        <v>566</v>
      </c>
    </row>
    <row r="78" spans="1:12" ht="25.5" x14ac:dyDescent="0.25">
      <c r="A78" s="17" t="s">
        <v>567</v>
      </c>
      <c r="B78" s="8" t="s">
        <v>21</v>
      </c>
      <c r="C78" s="8" t="s">
        <v>13</v>
      </c>
      <c r="D78" s="12" t="s">
        <v>568</v>
      </c>
      <c r="E78" s="12" t="s">
        <v>551</v>
      </c>
      <c r="F78" s="12"/>
      <c r="G78" s="12"/>
      <c r="H78" s="8"/>
      <c r="I78" s="8" t="s">
        <v>569</v>
      </c>
      <c r="J78" s="12" t="s">
        <v>552</v>
      </c>
      <c r="K78" s="8" t="s">
        <v>111</v>
      </c>
      <c r="L78" s="12" t="s">
        <v>570</v>
      </c>
    </row>
    <row r="79" spans="1:12" ht="25.5" x14ac:dyDescent="0.25">
      <c r="A79" s="17" t="s">
        <v>571</v>
      </c>
      <c r="B79" s="8" t="s">
        <v>21</v>
      </c>
      <c r="C79" s="8" t="s">
        <v>13</v>
      </c>
      <c r="D79" s="12" t="s">
        <v>572</v>
      </c>
      <c r="E79" s="12" t="s">
        <v>551</v>
      </c>
      <c r="F79" s="12"/>
      <c r="G79" s="12"/>
      <c r="H79" s="8"/>
      <c r="I79" s="8" t="s">
        <v>193</v>
      </c>
      <c r="J79" s="12" t="s">
        <v>552</v>
      </c>
      <c r="K79" s="8" t="s">
        <v>111</v>
      </c>
      <c r="L79" s="12" t="s">
        <v>573</v>
      </c>
    </row>
    <row r="80" spans="1:12" ht="38.25" x14ac:dyDescent="0.25">
      <c r="A80" s="17" t="s">
        <v>574</v>
      </c>
      <c r="B80" s="8" t="s">
        <v>21</v>
      </c>
      <c r="C80" s="8" t="s">
        <v>13</v>
      </c>
      <c r="D80" s="12" t="s">
        <v>575</v>
      </c>
      <c r="E80" s="12" t="s">
        <v>551</v>
      </c>
      <c r="F80" s="12"/>
      <c r="G80" s="12"/>
      <c r="H80" s="8"/>
      <c r="I80" s="8" t="s">
        <v>576</v>
      </c>
      <c r="J80" s="12" t="s">
        <v>552</v>
      </c>
      <c r="K80" s="8" t="s">
        <v>111</v>
      </c>
      <c r="L80" s="12" t="s">
        <v>577</v>
      </c>
    </row>
    <row r="81" spans="1:12" ht="25.5" x14ac:dyDescent="0.25">
      <c r="A81" s="17" t="s">
        <v>578</v>
      </c>
      <c r="B81" s="8" t="s">
        <v>21</v>
      </c>
      <c r="C81" s="8" t="s">
        <v>13</v>
      </c>
      <c r="D81" s="12" t="s">
        <v>579</v>
      </c>
      <c r="E81" s="12" t="s">
        <v>551</v>
      </c>
      <c r="F81" s="12"/>
      <c r="G81" s="12"/>
      <c r="H81" s="8"/>
      <c r="I81" s="8" t="s">
        <v>263</v>
      </c>
      <c r="J81" s="12" t="s">
        <v>552</v>
      </c>
      <c r="K81" s="8" t="s">
        <v>111</v>
      </c>
      <c r="L81" s="12" t="s">
        <v>580</v>
      </c>
    </row>
    <row r="82" spans="1:12" ht="25.5" x14ac:dyDescent="0.25">
      <c r="A82" s="17" t="s">
        <v>581</v>
      </c>
      <c r="B82" s="8" t="s">
        <v>21</v>
      </c>
      <c r="C82" s="8" t="s">
        <v>13</v>
      </c>
      <c r="D82" s="12" t="s">
        <v>582</v>
      </c>
      <c r="E82" s="12" t="s">
        <v>551</v>
      </c>
      <c r="F82" s="12"/>
      <c r="G82" s="12"/>
      <c r="H82" s="8"/>
      <c r="I82" s="8" t="s">
        <v>193</v>
      </c>
      <c r="J82" s="12" t="s">
        <v>552</v>
      </c>
      <c r="K82" s="8" t="s">
        <v>111</v>
      </c>
      <c r="L82" s="12" t="s">
        <v>583</v>
      </c>
    </row>
    <row r="83" spans="1:12" ht="25.5" x14ac:dyDescent="0.25">
      <c r="A83" s="17" t="s">
        <v>584</v>
      </c>
      <c r="B83" s="8" t="s">
        <v>21</v>
      </c>
      <c r="C83" s="8" t="s">
        <v>12</v>
      </c>
      <c r="D83" s="12" t="s">
        <v>585</v>
      </c>
      <c r="E83" s="12" t="s">
        <v>551</v>
      </c>
      <c r="F83" s="12"/>
      <c r="G83" s="12"/>
      <c r="H83" s="8"/>
      <c r="I83" s="8" t="s">
        <v>586</v>
      </c>
      <c r="J83" s="12" t="s">
        <v>552</v>
      </c>
      <c r="K83" s="8" t="s">
        <v>111</v>
      </c>
      <c r="L83" s="12"/>
    </row>
    <row r="84" spans="1:12" ht="25.5" x14ac:dyDescent="0.25">
      <c r="A84" s="17" t="s">
        <v>587</v>
      </c>
      <c r="B84" s="8" t="s">
        <v>21</v>
      </c>
      <c r="C84" s="8" t="s">
        <v>13</v>
      </c>
      <c r="D84" s="12" t="s">
        <v>588</v>
      </c>
      <c r="E84" s="12" t="s">
        <v>551</v>
      </c>
      <c r="F84" s="12"/>
      <c r="G84" s="12"/>
      <c r="H84" s="8"/>
      <c r="I84" s="8"/>
      <c r="J84" s="12" t="s">
        <v>552</v>
      </c>
      <c r="K84" s="8" t="s">
        <v>111</v>
      </c>
      <c r="L84" s="12" t="s">
        <v>589</v>
      </c>
    </row>
    <row r="85" spans="1:12" ht="38.25" x14ac:dyDescent="0.25">
      <c r="A85" s="17" t="s">
        <v>590</v>
      </c>
      <c r="B85" s="8" t="s">
        <v>21</v>
      </c>
      <c r="C85" s="8" t="s">
        <v>13</v>
      </c>
      <c r="D85" s="12" t="s">
        <v>591</v>
      </c>
      <c r="E85" s="12" t="s">
        <v>551</v>
      </c>
      <c r="F85" s="12"/>
      <c r="G85" s="12"/>
      <c r="H85" s="8"/>
      <c r="I85" s="8" t="s">
        <v>193</v>
      </c>
      <c r="J85" s="12" t="s">
        <v>552</v>
      </c>
      <c r="K85" s="8" t="s">
        <v>111</v>
      </c>
      <c r="L85" s="12" t="s">
        <v>592</v>
      </c>
    </row>
    <row r="86" spans="1:12" ht="25.5" x14ac:dyDescent="0.25">
      <c r="A86" s="17" t="s">
        <v>593</v>
      </c>
      <c r="B86" s="8" t="s">
        <v>21</v>
      </c>
      <c r="C86" s="8" t="s">
        <v>13</v>
      </c>
      <c r="D86" s="12" t="s">
        <v>594</v>
      </c>
      <c r="E86" s="12" t="s">
        <v>551</v>
      </c>
      <c r="F86" s="12"/>
      <c r="G86" s="12"/>
      <c r="H86" s="8"/>
      <c r="I86" s="8" t="s">
        <v>329</v>
      </c>
      <c r="J86" s="12" t="s">
        <v>552</v>
      </c>
      <c r="K86" s="8" t="s">
        <v>111</v>
      </c>
      <c r="L86" s="12"/>
    </row>
    <row r="87" spans="1:12" ht="25.5" x14ac:dyDescent="0.25">
      <c r="A87" s="17" t="s">
        <v>595</v>
      </c>
      <c r="B87" s="8" t="s">
        <v>21</v>
      </c>
      <c r="C87" s="8" t="s">
        <v>14</v>
      </c>
      <c r="D87" s="12" t="s">
        <v>596</v>
      </c>
      <c r="E87" s="12" t="s">
        <v>551</v>
      </c>
      <c r="F87" s="12"/>
      <c r="G87" s="12"/>
      <c r="H87" s="8"/>
      <c r="I87" s="8"/>
      <c r="J87" s="12" t="s">
        <v>552</v>
      </c>
      <c r="K87" s="8" t="s">
        <v>111</v>
      </c>
      <c r="L87" s="12"/>
    </row>
    <row r="88" spans="1:12" x14ac:dyDescent="0.25">
      <c r="A88" s="17" t="s">
        <v>597</v>
      </c>
      <c r="B88" s="8" t="s">
        <v>23</v>
      </c>
      <c r="C88" s="8" t="s">
        <v>12</v>
      </c>
      <c r="D88" s="12" t="s">
        <v>598</v>
      </c>
      <c r="E88" s="12" t="s">
        <v>599</v>
      </c>
      <c r="F88" s="12"/>
      <c r="G88" s="12"/>
      <c r="H88" s="8"/>
      <c r="I88" s="8"/>
      <c r="J88" s="12" t="s">
        <v>600</v>
      </c>
      <c r="K88" s="8" t="s">
        <v>111</v>
      </c>
      <c r="L88" s="12"/>
    </row>
    <row r="89" spans="1:12" x14ac:dyDescent="0.25">
      <c r="A89" s="17" t="s">
        <v>601</v>
      </c>
      <c r="B89" s="8" t="s">
        <v>23</v>
      </c>
      <c r="C89" s="8" t="s">
        <v>12</v>
      </c>
      <c r="D89" s="12" t="s">
        <v>602</v>
      </c>
      <c r="E89" s="12" t="s">
        <v>599</v>
      </c>
      <c r="F89" s="12"/>
      <c r="G89" s="12"/>
      <c r="H89" s="8"/>
      <c r="I89" s="8"/>
      <c r="J89" s="12" t="s">
        <v>600</v>
      </c>
      <c r="K89" s="8" t="s">
        <v>111</v>
      </c>
      <c r="L89" s="12"/>
    </row>
    <row r="90" spans="1:12" x14ac:dyDescent="0.25">
      <c r="A90" s="17" t="s">
        <v>603</v>
      </c>
      <c r="B90" s="8" t="s">
        <v>23</v>
      </c>
      <c r="C90" s="8" t="s">
        <v>12</v>
      </c>
      <c r="D90" s="12" t="s">
        <v>604</v>
      </c>
      <c r="E90" s="12" t="s">
        <v>599</v>
      </c>
      <c r="F90" s="12"/>
      <c r="G90" s="12"/>
      <c r="H90" s="8"/>
      <c r="I90" s="8"/>
      <c r="J90" s="12" t="s">
        <v>600</v>
      </c>
      <c r="K90" s="8" t="s">
        <v>111</v>
      </c>
      <c r="L90" s="12"/>
    </row>
    <row r="91" spans="1:12" x14ac:dyDescent="0.25">
      <c r="A91" s="17" t="s">
        <v>605</v>
      </c>
      <c r="B91" s="8" t="s">
        <v>23</v>
      </c>
      <c r="C91" s="8" t="s">
        <v>13</v>
      </c>
      <c r="D91" s="12" t="s">
        <v>606</v>
      </c>
      <c r="E91" s="12" t="s">
        <v>599</v>
      </c>
      <c r="F91" s="12"/>
      <c r="G91" s="12"/>
      <c r="H91" s="8"/>
      <c r="I91" s="8"/>
      <c r="J91" s="12" t="s">
        <v>600</v>
      </c>
      <c r="K91" s="8" t="s">
        <v>111</v>
      </c>
      <c r="L91" s="12"/>
    </row>
    <row r="92" spans="1:12" x14ac:dyDescent="0.25">
      <c r="A92" s="17" t="s">
        <v>607</v>
      </c>
      <c r="B92" s="8" t="s">
        <v>23</v>
      </c>
      <c r="C92" s="8" t="s">
        <v>13</v>
      </c>
      <c r="D92" s="12" t="s">
        <v>608</v>
      </c>
      <c r="E92" s="12" t="s">
        <v>599</v>
      </c>
      <c r="F92" s="12"/>
      <c r="G92" s="12"/>
      <c r="H92" s="8"/>
      <c r="I92" s="8"/>
      <c r="J92" s="12" t="s">
        <v>600</v>
      </c>
      <c r="K92" s="8" t="s">
        <v>111</v>
      </c>
      <c r="L92" s="12"/>
    </row>
    <row r="93" spans="1:12" x14ac:dyDescent="0.25">
      <c r="A93" s="17" t="s">
        <v>609</v>
      </c>
      <c r="B93" s="8" t="s">
        <v>23</v>
      </c>
      <c r="C93" s="8" t="s">
        <v>14</v>
      </c>
      <c r="D93" s="12" t="s">
        <v>610</v>
      </c>
      <c r="E93" s="12" t="s">
        <v>599</v>
      </c>
      <c r="F93" s="12"/>
      <c r="G93" s="12"/>
      <c r="H93" s="8"/>
      <c r="I93" s="8"/>
      <c r="J93" s="12" t="s">
        <v>600</v>
      </c>
      <c r="K93" s="8" t="s">
        <v>111</v>
      </c>
      <c r="L93" s="12"/>
    </row>
    <row r="94" spans="1:12" x14ac:dyDescent="0.25">
      <c r="A94" s="17" t="s">
        <v>611</v>
      </c>
      <c r="B94" s="8" t="s">
        <v>23</v>
      </c>
      <c r="C94" s="8" t="s">
        <v>13</v>
      </c>
      <c r="D94" s="12" t="s">
        <v>612</v>
      </c>
      <c r="E94" s="12" t="s">
        <v>599</v>
      </c>
      <c r="F94" s="12"/>
      <c r="G94" s="12"/>
      <c r="H94" s="8"/>
      <c r="I94" s="8"/>
      <c r="J94" s="12" t="s">
        <v>600</v>
      </c>
      <c r="K94" s="8" t="s">
        <v>111</v>
      </c>
      <c r="L94" s="12"/>
    </row>
    <row r="95" spans="1:12" x14ac:dyDescent="0.25">
      <c r="A95" s="17" t="s">
        <v>613</v>
      </c>
      <c r="B95" s="8" t="s">
        <v>23</v>
      </c>
      <c r="C95" s="8" t="s">
        <v>13</v>
      </c>
      <c r="D95" s="12" t="s">
        <v>614</v>
      </c>
      <c r="E95" s="12" t="s">
        <v>599</v>
      </c>
      <c r="F95" s="12"/>
      <c r="G95" s="12"/>
      <c r="H95" s="8"/>
      <c r="I95" s="8"/>
      <c r="J95" s="12" t="s">
        <v>600</v>
      </c>
      <c r="K95" s="8" t="s">
        <v>111</v>
      </c>
      <c r="L95" s="12"/>
    </row>
    <row r="96" spans="1:12" x14ac:dyDescent="0.25">
      <c r="A96" s="17" t="s">
        <v>615</v>
      </c>
      <c r="B96" s="8" t="s">
        <v>23</v>
      </c>
      <c r="C96" s="8" t="s">
        <v>14</v>
      </c>
      <c r="D96" s="12" t="s">
        <v>616</v>
      </c>
      <c r="E96" s="12" t="s">
        <v>599</v>
      </c>
      <c r="F96" s="12"/>
      <c r="G96" s="12"/>
      <c r="H96" s="8"/>
      <c r="I96" s="8"/>
      <c r="J96" s="12" t="s">
        <v>600</v>
      </c>
      <c r="K96" s="8" t="s">
        <v>111</v>
      </c>
      <c r="L96" s="12"/>
    </row>
    <row r="97" spans="1:12" x14ac:dyDescent="0.25">
      <c r="A97" s="17" t="s">
        <v>617</v>
      </c>
      <c r="B97" s="8" t="s">
        <v>23</v>
      </c>
      <c r="C97" s="8" t="s">
        <v>12</v>
      </c>
      <c r="D97" s="12" t="s">
        <v>618</v>
      </c>
      <c r="E97" s="12" t="s">
        <v>599</v>
      </c>
      <c r="F97" s="12"/>
      <c r="G97" s="12"/>
      <c r="H97" s="8"/>
      <c r="I97" s="8"/>
      <c r="J97" s="12" t="s">
        <v>600</v>
      </c>
      <c r="K97" s="8" t="s">
        <v>111</v>
      </c>
      <c r="L97" s="12"/>
    </row>
    <row r="98" spans="1:12" ht="38.25" x14ac:dyDescent="0.25">
      <c r="A98" s="17" t="s">
        <v>619</v>
      </c>
      <c r="B98" s="8" t="s">
        <v>21</v>
      </c>
      <c r="C98" s="8" t="s">
        <v>13</v>
      </c>
      <c r="D98" s="12" t="s">
        <v>620</v>
      </c>
      <c r="E98" s="12" t="s">
        <v>551</v>
      </c>
      <c r="F98" s="12"/>
      <c r="G98" s="12"/>
      <c r="H98" s="8"/>
      <c r="I98" s="8"/>
      <c r="J98" s="12" t="s">
        <v>552</v>
      </c>
      <c r="K98" s="8" t="s">
        <v>111</v>
      </c>
      <c r="L98" s="12" t="s">
        <v>621</v>
      </c>
    </row>
    <row r="99" spans="1:12" ht="38.25" x14ac:dyDescent="0.25">
      <c r="A99" s="17" t="s">
        <v>622</v>
      </c>
      <c r="B99" s="8" t="s">
        <v>16</v>
      </c>
      <c r="C99" s="8" t="s">
        <v>13</v>
      </c>
      <c r="D99" s="12" t="s">
        <v>623</v>
      </c>
      <c r="E99" s="12" t="s">
        <v>624</v>
      </c>
      <c r="F99" s="12" t="s">
        <v>625</v>
      </c>
      <c r="G99" s="12" t="s">
        <v>626</v>
      </c>
      <c r="H99" s="8"/>
      <c r="I99" s="8"/>
      <c r="J99" s="12" t="s">
        <v>110</v>
      </c>
      <c r="K99" s="8" t="s">
        <v>111</v>
      </c>
      <c r="L99" s="12"/>
    </row>
    <row r="100" spans="1:12" ht="38.25" x14ac:dyDescent="0.25">
      <c r="A100" s="17" t="s">
        <v>627</v>
      </c>
      <c r="B100" s="8" t="s">
        <v>16</v>
      </c>
      <c r="C100" s="8" t="s">
        <v>12</v>
      </c>
      <c r="D100" s="12" t="s">
        <v>628</v>
      </c>
      <c r="E100" s="12" t="s">
        <v>629</v>
      </c>
      <c r="F100" s="12" t="s">
        <v>630</v>
      </c>
      <c r="G100" s="12" t="s">
        <v>631</v>
      </c>
      <c r="H100" s="8"/>
      <c r="I100" s="8" t="s">
        <v>349</v>
      </c>
      <c r="J100" s="12" t="s">
        <v>110</v>
      </c>
      <c r="K100" s="8" t="s">
        <v>111</v>
      </c>
      <c r="L100" s="12"/>
    </row>
    <row r="101" spans="1:12" ht="38.25" x14ac:dyDescent="0.25">
      <c r="A101" s="17" t="s">
        <v>632</v>
      </c>
      <c r="B101" s="8" t="s">
        <v>16</v>
      </c>
      <c r="C101" s="8" t="s">
        <v>13</v>
      </c>
      <c r="D101" s="12" t="s">
        <v>633</v>
      </c>
      <c r="E101" s="12" t="s">
        <v>634</v>
      </c>
      <c r="F101" s="12" t="s">
        <v>635</v>
      </c>
      <c r="G101" s="12" t="s">
        <v>636</v>
      </c>
      <c r="H101" s="8"/>
      <c r="I101" s="8"/>
      <c r="J101" s="12" t="s">
        <v>110</v>
      </c>
      <c r="K101" s="8" t="s">
        <v>111</v>
      </c>
      <c r="L101" s="12"/>
    </row>
    <row r="102" spans="1:12" ht="51" x14ac:dyDescent="0.25">
      <c r="A102" s="17" t="s">
        <v>637</v>
      </c>
      <c r="B102" s="8" t="s">
        <v>16</v>
      </c>
      <c r="C102" s="8" t="s">
        <v>13</v>
      </c>
      <c r="D102" s="12" t="s">
        <v>638</v>
      </c>
      <c r="E102" s="12" t="s">
        <v>639</v>
      </c>
      <c r="F102" s="12" t="s">
        <v>640</v>
      </c>
      <c r="G102" s="12" t="s">
        <v>641</v>
      </c>
      <c r="H102" s="8" t="s">
        <v>642</v>
      </c>
      <c r="I102" s="8" t="s">
        <v>275</v>
      </c>
      <c r="J102" s="12" t="s">
        <v>110</v>
      </c>
      <c r="K102" s="8" t="s">
        <v>111</v>
      </c>
      <c r="L102" s="12"/>
    </row>
    <row r="103" spans="1:12" ht="51" x14ac:dyDescent="0.25">
      <c r="A103" s="17" t="s">
        <v>643</v>
      </c>
      <c r="B103" s="8" t="s">
        <v>16</v>
      </c>
      <c r="C103" s="8" t="s">
        <v>13</v>
      </c>
      <c r="D103" s="12" t="s">
        <v>644</v>
      </c>
      <c r="E103" s="12" t="s">
        <v>645</v>
      </c>
      <c r="F103" s="12" t="s">
        <v>646</v>
      </c>
      <c r="G103" s="12" t="s">
        <v>647</v>
      </c>
      <c r="H103" s="8" t="s">
        <v>648</v>
      </c>
      <c r="I103" s="8"/>
      <c r="J103" s="12" t="s">
        <v>110</v>
      </c>
      <c r="K103" s="8" t="s">
        <v>111</v>
      </c>
      <c r="L103" s="12" t="s">
        <v>649</v>
      </c>
    </row>
    <row r="104" spans="1:12" ht="51" x14ac:dyDescent="0.25">
      <c r="A104" s="17" t="s">
        <v>650</v>
      </c>
      <c r="B104" s="8" t="s">
        <v>16</v>
      </c>
      <c r="C104" s="8" t="s">
        <v>14</v>
      </c>
      <c r="D104" s="12" t="s">
        <v>651</v>
      </c>
      <c r="E104" s="12" t="s">
        <v>652</v>
      </c>
      <c r="F104" s="12" t="s">
        <v>653</v>
      </c>
      <c r="G104" s="12" t="s">
        <v>647</v>
      </c>
      <c r="H104" s="8"/>
      <c r="I104" s="8"/>
      <c r="J104" s="12" t="s">
        <v>110</v>
      </c>
      <c r="K104" s="8" t="s">
        <v>111</v>
      </c>
      <c r="L104" s="12"/>
    </row>
    <row r="105" spans="1:12" ht="76.5" x14ac:dyDescent="0.25">
      <c r="A105" s="17" t="s">
        <v>654</v>
      </c>
      <c r="B105" s="8" t="s">
        <v>20</v>
      </c>
      <c r="C105" s="8" t="s">
        <v>13</v>
      </c>
      <c r="D105" s="12" t="s">
        <v>655</v>
      </c>
      <c r="E105" s="12" t="s">
        <v>656</v>
      </c>
      <c r="F105" s="12" t="s">
        <v>657</v>
      </c>
      <c r="G105" s="12" t="s">
        <v>658</v>
      </c>
      <c r="H105" s="8"/>
      <c r="I105" s="8" t="s">
        <v>659</v>
      </c>
      <c r="J105" s="12" t="s">
        <v>110</v>
      </c>
      <c r="K105" s="8" t="s">
        <v>111</v>
      </c>
      <c r="L105" s="12" t="s">
        <v>660</v>
      </c>
    </row>
  </sheetData>
  <autoFilter ref="A1:L105" xr:uid="{00000000-0009-0000-0000-000001000000}"/>
  <conditionalFormatting sqref="J2:J105">
    <cfRule type="expression" dxfId="113" priority="1">
      <formula>LEFT($J2,5)="Hayır"</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14"/>
  <sheetViews>
    <sheetView zoomScale="90" workbookViewId="0">
      <pane xSplit="4" ySplit="2" topLeftCell="E3" activePane="bottomRight" state="frozen"/>
      <selection pane="topRight"/>
      <selection pane="bottomLeft"/>
      <selection pane="bottomRight"/>
    </sheetView>
  </sheetViews>
  <sheetFormatPr defaultRowHeight="15" x14ac:dyDescent="0.25"/>
  <cols>
    <col min="1" max="1" width="8" customWidth="1"/>
    <col min="2" max="2" width="11" customWidth="1"/>
    <col min="3" max="3" width="48" customWidth="1"/>
    <col min="4" max="4" width="9" customWidth="1"/>
    <col min="5" max="5" width="10" customWidth="1"/>
    <col min="6" max="7" width="7" customWidth="1"/>
    <col min="8" max="9" width="10" customWidth="1"/>
    <col min="10" max="11" width="7" customWidth="1"/>
    <col min="12" max="13" width="10" customWidth="1"/>
    <col min="14" max="15" width="7" customWidth="1"/>
    <col min="16" max="17" width="10" customWidth="1"/>
    <col min="18" max="19" width="7" customWidth="1"/>
    <col min="20" max="21" width="10" customWidth="1"/>
    <col min="22" max="23" width="7" customWidth="1"/>
    <col min="24" max="25" width="10" customWidth="1"/>
    <col min="26" max="27" width="7" customWidth="1"/>
    <col min="28" max="28" width="10" customWidth="1"/>
  </cols>
  <sheetData>
    <row r="1" spans="1:28" ht="48" customHeight="1" x14ac:dyDescent="0.25">
      <c r="A1" s="30" t="s">
        <v>93</v>
      </c>
      <c r="B1" s="30" t="s">
        <v>10</v>
      </c>
      <c r="C1" s="30" t="s">
        <v>11</v>
      </c>
      <c r="D1" s="30" t="s">
        <v>661</v>
      </c>
      <c r="E1" s="30" t="s">
        <v>36</v>
      </c>
      <c r="F1" s="27"/>
      <c r="G1" s="27"/>
      <c r="H1" s="28"/>
      <c r="I1" s="30" t="s">
        <v>37</v>
      </c>
      <c r="J1" s="27"/>
      <c r="K1" s="27"/>
      <c r="L1" s="28"/>
      <c r="M1" s="30" t="s">
        <v>38</v>
      </c>
      <c r="N1" s="27"/>
      <c r="O1" s="27"/>
      <c r="P1" s="28"/>
      <c r="Q1" s="30" t="s">
        <v>39</v>
      </c>
      <c r="R1" s="27"/>
      <c r="S1" s="27"/>
      <c r="T1" s="28"/>
      <c r="U1" s="30" t="s">
        <v>40</v>
      </c>
      <c r="V1" s="27"/>
      <c r="W1" s="27"/>
      <c r="X1" s="28"/>
      <c r="Y1" s="30" t="s">
        <v>41</v>
      </c>
      <c r="Z1" s="27"/>
      <c r="AA1" s="27"/>
      <c r="AB1" s="28"/>
    </row>
    <row r="2" spans="1:28" ht="30" customHeight="1" x14ac:dyDescent="0.25">
      <c r="A2" s="32"/>
      <c r="B2" s="32"/>
      <c r="C2" s="32"/>
      <c r="D2" s="32"/>
      <c r="E2" s="18" t="s">
        <v>662</v>
      </c>
      <c r="F2" s="18" t="s">
        <v>28</v>
      </c>
      <c r="G2" s="18" t="s">
        <v>29</v>
      </c>
      <c r="H2" s="18" t="s">
        <v>663</v>
      </c>
      <c r="I2" s="18" t="s">
        <v>662</v>
      </c>
      <c r="J2" s="18" t="s">
        <v>28</v>
      </c>
      <c r="K2" s="18" t="s">
        <v>29</v>
      </c>
      <c r="L2" s="18" t="s">
        <v>663</v>
      </c>
      <c r="M2" s="18" t="s">
        <v>662</v>
      </c>
      <c r="N2" s="18" t="s">
        <v>28</v>
      </c>
      <c r="O2" s="18" t="s">
        <v>29</v>
      </c>
      <c r="P2" s="18" t="s">
        <v>663</v>
      </c>
      <c r="Q2" s="18" t="s">
        <v>662</v>
      </c>
      <c r="R2" s="18" t="s">
        <v>28</v>
      </c>
      <c r="S2" s="18" t="s">
        <v>29</v>
      </c>
      <c r="T2" s="18" t="s">
        <v>663</v>
      </c>
      <c r="U2" s="18" t="s">
        <v>662</v>
      </c>
      <c r="V2" s="18" t="s">
        <v>28</v>
      </c>
      <c r="W2" s="18" t="s">
        <v>29</v>
      </c>
      <c r="X2" s="18" t="s">
        <v>663</v>
      </c>
      <c r="Y2" s="18" t="s">
        <v>662</v>
      </c>
      <c r="Z2" s="18" t="s">
        <v>28</v>
      </c>
      <c r="AA2" s="18" t="s">
        <v>29</v>
      </c>
      <c r="AB2" s="18" t="s">
        <v>663</v>
      </c>
    </row>
    <row r="3" spans="1:28" ht="38.25" x14ac:dyDescent="0.25">
      <c r="A3" s="17" t="s">
        <v>103</v>
      </c>
      <c r="B3" s="8" t="s">
        <v>16</v>
      </c>
      <c r="C3" s="12" t="s">
        <v>104</v>
      </c>
      <c r="D3" s="8">
        <v>1</v>
      </c>
      <c r="E3" s="8">
        <v>28</v>
      </c>
      <c r="F3" s="19">
        <v>0</v>
      </c>
      <c r="G3" s="19">
        <v>0</v>
      </c>
      <c r="H3" s="13">
        <v>3.5714285714285712E-2</v>
      </c>
      <c r="I3" s="8">
        <v>7</v>
      </c>
      <c r="J3" s="19">
        <v>0</v>
      </c>
      <c r="K3" s="19">
        <v>1</v>
      </c>
      <c r="L3" s="13">
        <v>0.14285714285714279</v>
      </c>
      <c r="M3" s="8">
        <v>18</v>
      </c>
      <c r="N3" s="19">
        <v>0</v>
      </c>
      <c r="O3" s="19">
        <v>0</v>
      </c>
      <c r="P3" s="13">
        <v>5.5555555555555552E-2</v>
      </c>
      <c r="Q3" s="8" t="s">
        <v>664</v>
      </c>
      <c r="R3" s="19">
        <v>0</v>
      </c>
      <c r="S3" s="19">
        <v>0</v>
      </c>
      <c r="T3" s="13">
        <v>0</v>
      </c>
      <c r="U3" s="8" t="s">
        <v>664</v>
      </c>
      <c r="V3" s="19">
        <v>0</v>
      </c>
      <c r="W3" s="19">
        <v>0</v>
      </c>
      <c r="X3" s="13">
        <v>0</v>
      </c>
      <c r="Y3" s="8" t="s">
        <v>664</v>
      </c>
      <c r="Z3" s="19">
        <v>0</v>
      </c>
      <c r="AA3" s="19">
        <v>0</v>
      </c>
      <c r="AB3" s="13">
        <v>0</v>
      </c>
    </row>
    <row r="4" spans="1:28" ht="25.5" x14ac:dyDescent="0.25">
      <c r="A4" s="17" t="s">
        <v>112</v>
      </c>
      <c r="B4" s="8" t="s">
        <v>18</v>
      </c>
      <c r="C4" s="12" t="s">
        <v>113</v>
      </c>
      <c r="D4" s="8">
        <v>2</v>
      </c>
      <c r="E4" s="8" t="s">
        <v>664</v>
      </c>
      <c r="F4" s="19">
        <v>0</v>
      </c>
      <c r="G4" s="19">
        <v>0</v>
      </c>
      <c r="H4" s="13">
        <v>0</v>
      </c>
      <c r="I4" s="8" t="s">
        <v>664</v>
      </c>
      <c r="J4" s="19">
        <v>0</v>
      </c>
      <c r="K4" s="19">
        <v>0</v>
      </c>
      <c r="L4" s="13">
        <v>0</v>
      </c>
      <c r="M4" s="8">
        <v>17</v>
      </c>
      <c r="N4" s="19">
        <v>0</v>
      </c>
      <c r="O4" s="19">
        <v>0</v>
      </c>
      <c r="P4" s="13">
        <v>5.8823529411764712E-2</v>
      </c>
      <c r="Q4" s="8">
        <v>4</v>
      </c>
      <c r="R4" s="19">
        <v>0.5</v>
      </c>
      <c r="S4" s="19">
        <v>0.5</v>
      </c>
      <c r="T4" s="13">
        <v>0.25</v>
      </c>
      <c r="U4" s="8">
        <v>3</v>
      </c>
      <c r="V4" s="19">
        <v>0.5</v>
      </c>
      <c r="W4" s="19">
        <v>0.5</v>
      </c>
      <c r="X4" s="13">
        <v>0.33333333333333331</v>
      </c>
      <c r="Y4" s="8">
        <v>3</v>
      </c>
      <c r="Z4" s="19">
        <v>0.5</v>
      </c>
      <c r="AA4" s="19">
        <v>0.5</v>
      </c>
      <c r="AB4" s="13">
        <v>0.33333333333333331</v>
      </c>
    </row>
    <row r="5" spans="1:28" ht="38.25" x14ac:dyDescent="0.25">
      <c r="A5" s="17" t="s">
        <v>119</v>
      </c>
      <c r="B5" s="8" t="s">
        <v>16</v>
      </c>
      <c r="C5" s="12" t="s">
        <v>120</v>
      </c>
      <c r="D5" s="8">
        <v>1</v>
      </c>
      <c r="E5" s="8" t="s">
        <v>664</v>
      </c>
      <c r="F5" s="19">
        <v>0</v>
      </c>
      <c r="G5" s="19">
        <v>0</v>
      </c>
      <c r="H5" s="13">
        <v>0</v>
      </c>
      <c r="I5" s="8" t="s">
        <v>664</v>
      </c>
      <c r="J5" s="19">
        <v>0</v>
      </c>
      <c r="K5" s="19">
        <v>0</v>
      </c>
      <c r="L5" s="13">
        <v>0</v>
      </c>
      <c r="M5" s="8">
        <v>1</v>
      </c>
      <c r="N5" s="19">
        <v>1</v>
      </c>
      <c r="O5" s="19">
        <v>1</v>
      </c>
      <c r="P5" s="13">
        <v>1</v>
      </c>
      <c r="Q5" s="8">
        <v>1</v>
      </c>
      <c r="R5" s="19">
        <v>1</v>
      </c>
      <c r="S5" s="19">
        <v>1</v>
      </c>
      <c r="T5" s="13">
        <v>1</v>
      </c>
      <c r="U5" s="8">
        <v>1</v>
      </c>
      <c r="V5" s="19">
        <v>1</v>
      </c>
      <c r="W5" s="19">
        <v>1</v>
      </c>
      <c r="X5" s="13">
        <v>1</v>
      </c>
      <c r="Y5" s="8">
        <v>1</v>
      </c>
      <c r="Z5" s="19">
        <v>1</v>
      </c>
      <c r="AA5" s="19">
        <v>1</v>
      </c>
      <c r="AB5" s="13">
        <v>1</v>
      </c>
    </row>
    <row r="6" spans="1:28" ht="38.25" x14ac:dyDescent="0.25">
      <c r="A6" s="17" t="s">
        <v>125</v>
      </c>
      <c r="B6" s="8" t="s">
        <v>16</v>
      </c>
      <c r="C6" s="12" t="s">
        <v>126</v>
      </c>
      <c r="D6" s="8">
        <v>1</v>
      </c>
      <c r="E6" s="8" t="s">
        <v>664</v>
      </c>
      <c r="F6" s="19">
        <v>0</v>
      </c>
      <c r="G6" s="19">
        <v>0</v>
      </c>
      <c r="H6" s="13">
        <v>0</v>
      </c>
      <c r="I6" s="8" t="s">
        <v>664</v>
      </c>
      <c r="J6" s="19">
        <v>0</v>
      </c>
      <c r="K6" s="19">
        <v>0</v>
      </c>
      <c r="L6" s="13">
        <v>0</v>
      </c>
      <c r="M6" s="8">
        <v>2</v>
      </c>
      <c r="N6" s="19">
        <v>1</v>
      </c>
      <c r="O6" s="19">
        <v>1</v>
      </c>
      <c r="P6" s="13">
        <v>0.5</v>
      </c>
      <c r="Q6" s="8">
        <v>1</v>
      </c>
      <c r="R6" s="19">
        <v>1</v>
      </c>
      <c r="S6" s="19">
        <v>1</v>
      </c>
      <c r="T6" s="13">
        <v>1</v>
      </c>
      <c r="U6" s="8">
        <v>1</v>
      </c>
      <c r="V6" s="19">
        <v>1</v>
      </c>
      <c r="W6" s="19">
        <v>1</v>
      </c>
      <c r="X6" s="13">
        <v>1</v>
      </c>
      <c r="Y6" s="8">
        <v>1</v>
      </c>
      <c r="Z6" s="19">
        <v>1</v>
      </c>
      <c r="AA6" s="19">
        <v>1</v>
      </c>
      <c r="AB6" s="13">
        <v>1</v>
      </c>
    </row>
    <row r="7" spans="1:28" ht="25.5" x14ac:dyDescent="0.25">
      <c r="A7" s="17" t="s">
        <v>130</v>
      </c>
      <c r="B7" s="8" t="s">
        <v>16</v>
      </c>
      <c r="C7" s="12" t="s">
        <v>131</v>
      </c>
      <c r="D7" s="8">
        <v>1</v>
      </c>
      <c r="E7" s="8">
        <v>8</v>
      </c>
      <c r="F7" s="19">
        <v>0</v>
      </c>
      <c r="G7" s="19">
        <v>1</v>
      </c>
      <c r="H7" s="13">
        <v>0.125</v>
      </c>
      <c r="I7" s="8">
        <v>2</v>
      </c>
      <c r="J7" s="19">
        <v>1</v>
      </c>
      <c r="K7" s="19">
        <v>1</v>
      </c>
      <c r="L7" s="13">
        <v>0.5</v>
      </c>
      <c r="M7" s="8">
        <v>3</v>
      </c>
      <c r="N7" s="19">
        <v>1</v>
      </c>
      <c r="O7" s="19">
        <v>1</v>
      </c>
      <c r="P7" s="13">
        <v>0.33333333333333331</v>
      </c>
      <c r="Q7" s="8">
        <v>2</v>
      </c>
      <c r="R7" s="19">
        <v>1</v>
      </c>
      <c r="S7" s="19">
        <v>1</v>
      </c>
      <c r="T7" s="13">
        <v>0.5</v>
      </c>
      <c r="U7" s="8">
        <v>3</v>
      </c>
      <c r="V7" s="19">
        <v>1</v>
      </c>
      <c r="W7" s="19">
        <v>1</v>
      </c>
      <c r="X7" s="13">
        <v>0.33333333333333331</v>
      </c>
      <c r="Y7" s="8">
        <v>3</v>
      </c>
      <c r="Z7" s="19">
        <v>1</v>
      </c>
      <c r="AA7" s="19">
        <v>1</v>
      </c>
      <c r="AB7" s="13">
        <v>0.33333333333333331</v>
      </c>
    </row>
    <row r="8" spans="1:28" ht="25.5" x14ac:dyDescent="0.25">
      <c r="A8" s="17" t="s">
        <v>135</v>
      </c>
      <c r="B8" s="8" t="s">
        <v>16</v>
      </c>
      <c r="C8" s="12" t="s">
        <v>136</v>
      </c>
      <c r="D8" s="8">
        <v>1</v>
      </c>
      <c r="E8" s="8" t="s">
        <v>664</v>
      </c>
      <c r="F8" s="19">
        <v>0</v>
      </c>
      <c r="G8" s="19">
        <v>0</v>
      </c>
      <c r="H8" s="13">
        <v>0</v>
      </c>
      <c r="I8" s="8" t="s">
        <v>664</v>
      </c>
      <c r="J8" s="19">
        <v>0</v>
      </c>
      <c r="K8" s="19">
        <v>0</v>
      </c>
      <c r="L8" s="13">
        <v>0</v>
      </c>
      <c r="M8" s="8">
        <v>21</v>
      </c>
      <c r="N8" s="19">
        <v>0</v>
      </c>
      <c r="O8" s="19">
        <v>0</v>
      </c>
      <c r="P8" s="13">
        <v>4.7619047619047623E-2</v>
      </c>
      <c r="Q8" s="8">
        <v>17</v>
      </c>
      <c r="R8" s="19">
        <v>0</v>
      </c>
      <c r="S8" s="19">
        <v>0</v>
      </c>
      <c r="T8" s="13">
        <v>5.8823529411764712E-2</v>
      </c>
      <c r="U8" s="8">
        <v>6</v>
      </c>
      <c r="V8" s="19">
        <v>0</v>
      </c>
      <c r="W8" s="19">
        <v>1</v>
      </c>
      <c r="X8" s="13">
        <v>0.16666666666666671</v>
      </c>
      <c r="Y8" s="8">
        <v>6</v>
      </c>
      <c r="Z8" s="19">
        <v>0</v>
      </c>
      <c r="AA8" s="19">
        <v>1</v>
      </c>
      <c r="AB8" s="13">
        <v>0.16666666666666671</v>
      </c>
    </row>
    <row r="9" spans="1:28" ht="25.5" x14ac:dyDescent="0.25">
      <c r="A9" s="17" t="s">
        <v>140</v>
      </c>
      <c r="B9" s="8" t="s">
        <v>16</v>
      </c>
      <c r="C9" s="12" t="s">
        <v>141</v>
      </c>
      <c r="D9" s="8">
        <v>1</v>
      </c>
      <c r="E9" s="8" t="s">
        <v>664</v>
      </c>
      <c r="F9" s="19">
        <v>0</v>
      </c>
      <c r="G9" s="19">
        <v>0</v>
      </c>
      <c r="H9" s="13">
        <v>0</v>
      </c>
      <c r="I9" s="8" t="s">
        <v>664</v>
      </c>
      <c r="J9" s="19">
        <v>0</v>
      </c>
      <c r="K9" s="19">
        <v>0</v>
      </c>
      <c r="L9" s="13">
        <v>0</v>
      </c>
      <c r="M9" s="8">
        <v>1</v>
      </c>
      <c r="N9" s="19">
        <v>1</v>
      </c>
      <c r="O9" s="19">
        <v>1</v>
      </c>
      <c r="P9" s="13">
        <v>1</v>
      </c>
      <c r="Q9" s="8">
        <v>1</v>
      </c>
      <c r="R9" s="19">
        <v>1</v>
      </c>
      <c r="S9" s="19">
        <v>1</v>
      </c>
      <c r="T9" s="13">
        <v>1</v>
      </c>
      <c r="U9" s="8">
        <v>1</v>
      </c>
      <c r="V9" s="19">
        <v>1</v>
      </c>
      <c r="W9" s="19">
        <v>1</v>
      </c>
      <c r="X9" s="13">
        <v>1</v>
      </c>
      <c r="Y9" s="8">
        <v>1</v>
      </c>
      <c r="Z9" s="19">
        <v>1</v>
      </c>
      <c r="AA9" s="19">
        <v>1</v>
      </c>
      <c r="AB9" s="13">
        <v>1</v>
      </c>
    </row>
    <row r="10" spans="1:28" ht="25.5" x14ac:dyDescent="0.25">
      <c r="A10" s="17" t="s">
        <v>147</v>
      </c>
      <c r="B10" s="8" t="s">
        <v>16</v>
      </c>
      <c r="C10" s="12" t="s">
        <v>148</v>
      </c>
      <c r="D10" s="8">
        <v>1</v>
      </c>
      <c r="E10" s="8">
        <v>4</v>
      </c>
      <c r="F10" s="19">
        <v>1</v>
      </c>
      <c r="G10" s="19">
        <v>1</v>
      </c>
      <c r="H10" s="13">
        <v>0.25</v>
      </c>
      <c r="I10" s="8">
        <v>5</v>
      </c>
      <c r="J10" s="19">
        <v>1</v>
      </c>
      <c r="K10" s="19">
        <v>1</v>
      </c>
      <c r="L10" s="13">
        <v>0.2</v>
      </c>
      <c r="M10" s="8">
        <v>1</v>
      </c>
      <c r="N10" s="19">
        <v>1</v>
      </c>
      <c r="O10" s="19">
        <v>1</v>
      </c>
      <c r="P10" s="13">
        <v>1</v>
      </c>
      <c r="Q10" s="8">
        <v>1</v>
      </c>
      <c r="R10" s="19">
        <v>1</v>
      </c>
      <c r="S10" s="19">
        <v>1</v>
      </c>
      <c r="T10" s="13">
        <v>1</v>
      </c>
      <c r="U10" s="8">
        <v>1</v>
      </c>
      <c r="V10" s="19">
        <v>1</v>
      </c>
      <c r="W10" s="19">
        <v>1</v>
      </c>
      <c r="X10" s="13">
        <v>1</v>
      </c>
      <c r="Y10" s="8">
        <v>1</v>
      </c>
      <c r="Z10" s="19">
        <v>1</v>
      </c>
      <c r="AA10" s="19">
        <v>1</v>
      </c>
      <c r="AB10" s="13">
        <v>1</v>
      </c>
    </row>
    <row r="11" spans="1:28" ht="25.5" x14ac:dyDescent="0.25">
      <c r="A11" s="17" t="s">
        <v>154</v>
      </c>
      <c r="B11" s="8" t="s">
        <v>16</v>
      </c>
      <c r="C11" s="12" t="s">
        <v>155</v>
      </c>
      <c r="D11" s="8">
        <v>1</v>
      </c>
      <c r="E11" s="8">
        <v>29</v>
      </c>
      <c r="F11" s="19">
        <v>0</v>
      </c>
      <c r="G11" s="19">
        <v>0</v>
      </c>
      <c r="H11" s="13">
        <v>3.4482758620689648E-2</v>
      </c>
      <c r="I11" s="8">
        <v>2</v>
      </c>
      <c r="J11" s="19">
        <v>1</v>
      </c>
      <c r="K11" s="19">
        <v>1</v>
      </c>
      <c r="L11" s="13">
        <v>0.5</v>
      </c>
      <c r="M11" s="8">
        <v>1</v>
      </c>
      <c r="N11" s="19">
        <v>1</v>
      </c>
      <c r="O11" s="19">
        <v>1</v>
      </c>
      <c r="P11" s="13">
        <v>1</v>
      </c>
      <c r="Q11" s="8">
        <v>3</v>
      </c>
      <c r="R11" s="19">
        <v>1</v>
      </c>
      <c r="S11" s="19">
        <v>1</v>
      </c>
      <c r="T11" s="13">
        <v>0.33333333333333331</v>
      </c>
      <c r="U11" s="8">
        <v>1</v>
      </c>
      <c r="V11" s="19">
        <v>1</v>
      </c>
      <c r="W11" s="19">
        <v>1</v>
      </c>
      <c r="X11" s="13">
        <v>1</v>
      </c>
      <c r="Y11" s="8">
        <v>1</v>
      </c>
      <c r="Z11" s="19">
        <v>1</v>
      </c>
      <c r="AA11" s="19">
        <v>1</v>
      </c>
      <c r="AB11" s="13">
        <v>1</v>
      </c>
    </row>
    <row r="12" spans="1:28" ht="38.25" x14ac:dyDescent="0.25">
      <c r="A12" s="17" t="s">
        <v>161</v>
      </c>
      <c r="B12" s="8" t="s">
        <v>16</v>
      </c>
      <c r="C12" s="12" t="s">
        <v>162</v>
      </c>
      <c r="D12" s="8">
        <v>1</v>
      </c>
      <c r="E12" s="8">
        <v>28</v>
      </c>
      <c r="F12" s="19">
        <v>0</v>
      </c>
      <c r="G12" s="19">
        <v>0</v>
      </c>
      <c r="H12" s="13">
        <v>3.5714285714285712E-2</v>
      </c>
      <c r="I12" s="8">
        <v>10</v>
      </c>
      <c r="J12" s="19">
        <v>0</v>
      </c>
      <c r="K12" s="19">
        <v>1</v>
      </c>
      <c r="L12" s="13">
        <v>0.1</v>
      </c>
      <c r="M12" s="8">
        <v>1</v>
      </c>
      <c r="N12" s="19">
        <v>1</v>
      </c>
      <c r="O12" s="19">
        <v>1</v>
      </c>
      <c r="P12" s="13">
        <v>1</v>
      </c>
      <c r="Q12" s="8">
        <v>1</v>
      </c>
      <c r="R12" s="19">
        <v>1</v>
      </c>
      <c r="S12" s="19">
        <v>1</v>
      </c>
      <c r="T12" s="13">
        <v>1</v>
      </c>
      <c r="U12" s="8">
        <v>3</v>
      </c>
      <c r="V12" s="19">
        <v>1</v>
      </c>
      <c r="W12" s="19">
        <v>1</v>
      </c>
      <c r="X12" s="13">
        <v>0.33333333333333331</v>
      </c>
      <c r="Y12" s="8">
        <v>3</v>
      </c>
      <c r="Z12" s="19">
        <v>1</v>
      </c>
      <c r="AA12" s="19">
        <v>1</v>
      </c>
      <c r="AB12" s="13">
        <v>0.33333333333333331</v>
      </c>
    </row>
    <row r="13" spans="1:28" ht="38.25" x14ac:dyDescent="0.25">
      <c r="A13" s="17" t="s">
        <v>168</v>
      </c>
      <c r="B13" s="8" t="s">
        <v>16</v>
      </c>
      <c r="C13" s="12" t="s">
        <v>169</v>
      </c>
      <c r="D13" s="8">
        <v>1</v>
      </c>
      <c r="E13" s="8" t="s">
        <v>665</v>
      </c>
      <c r="F13" s="19"/>
      <c r="G13" s="19"/>
      <c r="H13" s="13"/>
      <c r="I13" s="8" t="s">
        <v>665</v>
      </c>
      <c r="J13" s="19"/>
      <c r="K13" s="19"/>
      <c r="L13" s="13"/>
      <c r="M13" s="8" t="s">
        <v>665</v>
      </c>
      <c r="N13" s="19"/>
      <c r="O13" s="19"/>
      <c r="P13" s="13"/>
      <c r="Q13" s="8" t="s">
        <v>665</v>
      </c>
      <c r="R13" s="19"/>
      <c r="S13" s="19"/>
      <c r="T13" s="13"/>
      <c r="U13" s="8" t="s">
        <v>665</v>
      </c>
      <c r="V13" s="19"/>
      <c r="W13" s="19"/>
      <c r="X13" s="13"/>
      <c r="Y13" s="8" t="s">
        <v>665</v>
      </c>
      <c r="Z13" s="19"/>
      <c r="AA13" s="19"/>
      <c r="AB13" s="13"/>
    </row>
    <row r="14" spans="1:28" ht="25.5" x14ac:dyDescent="0.25">
      <c r="A14" s="17" t="s">
        <v>173</v>
      </c>
      <c r="B14" s="8" t="s">
        <v>16</v>
      </c>
      <c r="C14" s="12" t="s">
        <v>174</v>
      </c>
      <c r="D14" s="8">
        <v>1</v>
      </c>
      <c r="E14" s="8" t="s">
        <v>664</v>
      </c>
      <c r="F14" s="19">
        <v>0</v>
      </c>
      <c r="G14" s="19">
        <v>0</v>
      </c>
      <c r="H14" s="13">
        <v>0</v>
      </c>
      <c r="I14" s="8" t="s">
        <v>664</v>
      </c>
      <c r="J14" s="19">
        <v>0</v>
      </c>
      <c r="K14" s="19">
        <v>0</v>
      </c>
      <c r="L14" s="13">
        <v>0</v>
      </c>
      <c r="M14" s="8">
        <v>1</v>
      </c>
      <c r="N14" s="19">
        <v>1</v>
      </c>
      <c r="O14" s="19">
        <v>1</v>
      </c>
      <c r="P14" s="13">
        <v>1</v>
      </c>
      <c r="Q14" s="8">
        <v>1</v>
      </c>
      <c r="R14" s="19">
        <v>1</v>
      </c>
      <c r="S14" s="19">
        <v>1</v>
      </c>
      <c r="T14" s="13">
        <v>1</v>
      </c>
      <c r="U14" s="8">
        <v>2</v>
      </c>
      <c r="V14" s="19">
        <v>1</v>
      </c>
      <c r="W14" s="19">
        <v>1</v>
      </c>
      <c r="X14" s="13">
        <v>0.5</v>
      </c>
      <c r="Y14" s="8">
        <v>2</v>
      </c>
      <c r="Z14" s="19">
        <v>1</v>
      </c>
      <c r="AA14" s="19">
        <v>1</v>
      </c>
      <c r="AB14" s="13">
        <v>0.5</v>
      </c>
    </row>
    <row r="15" spans="1:28" ht="25.5" x14ac:dyDescent="0.25">
      <c r="A15" s="17" t="s">
        <v>180</v>
      </c>
      <c r="B15" s="8" t="s">
        <v>16</v>
      </c>
      <c r="C15" s="12" t="s">
        <v>181</v>
      </c>
      <c r="D15" s="8">
        <v>1</v>
      </c>
      <c r="E15" s="8">
        <v>2</v>
      </c>
      <c r="F15" s="19">
        <v>1</v>
      </c>
      <c r="G15" s="19">
        <v>1</v>
      </c>
      <c r="H15" s="13">
        <v>0.5</v>
      </c>
      <c r="I15" s="8">
        <v>2</v>
      </c>
      <c r="J15" s="19">
        <v>1</v>
      </c>
      <c r="K15" s="19">
        <v>1</v>
      </c>
      <c r="L15" s="13">
        <v>0.5</v>
      </c>
      <c r="M15" s="8">
        <v>1</v>
      </c>
      <c r="N15" s="19">
        <v>1</v>
      </c>
      <c r="O15" s="19">
        <v>1</v>
      </c>
      <c r="P15" s="13">
        <v>1</v>
      </c>
      <c r="Q15" s="8">
        <v>1</v>
      </c>
      <c r="R15" s="19">
        <v>1</v>
      </c>
      <c r="S15" s="19">
        <v>1</v>
      </c>
      <c r="T15" s="13">
        <v>1</v>
      </c>
      <c r="U15" s="8">
        <v>1</v>
      </c>
      <c r="V15" s="19">
        <v>1</v>
      </c>
      <c r="W15" s="19">
        <v>1</v>
      </c>
      <c r="X15" s="13">
        <v>1</v>
      </c>
      <c r="Y15" s="8">
        <v>1</v>
      </c>
      <c r="Z15" s="19">
        <v>1</v>
      </c>
      <c r="AA15" s="19">
        <v>1</v>
      </c>
      <c r="AB15" s="13">
        <v>1</v>
      </c>
    </row>
    <row r="16" spans="1:28" ht="25.5" x14ac:dyDescent="0.25">
      <c r="A16" s="17" t="s">
        <v>187</v>
      </c>
      <c r="B16" s="8" t="s">
        <v>16</v>
      </c>
      <c r="C16" s="12" t="s">
        <v>188</v>
      </c>
      <c r="D16" s="8">
        <v>1</v>
      </c>
      <c r="E16" s="8" t="s">
        <v>664</v>
      </c>
      <c r="F16" s="19">
        <v>0</v>
      </c>
      <c r="G16" s="19">
        <v>0</v>
      </c>
      <c r="H16" s="13">
        <v>0</v>
      </c>
      <c r="I16" s="8" t="s">
        <v>664</v>
      </c>
      <c r="J16" s="19">
        <v>0</v>
      </c>
      <c r="K16" s="19">
        <v>0</v>
      </c>
      <c r="L16" s="13">
        <v>0</v>
      </c>
      <c r="M16" s="8">
        <v>1</v>
      </c>
      <c r="N16" s="19">
        <v>1</v>
      </c>
      <c r="O16" s="19">
        <v>1</v>
      </c>
      <c r="P16" s="13">
        <v>1</v>
      </c>
      <c r="Q16" s="8">
        <v>1</v>
      </c>
      <c r="R16" s="19">
        <v>1</v>
      </c>
      <c r="S16" s="19">
        <v>1</v>
      </c>
      <c r="T16" s="13">
        <v>1</v>
      </c>
      <c r="U16" s="8">
        <v>1</v>
      </c>
      <c r="V16" s="19">
        <v>1</v>
      </c>
      <c r="W16" s="19">
        <v>1</v>
      </c>
      <c r="X16" s="13">
        <v>1</v>
      </c>
      <c r="Y16" s="8">
        <v>1</v>
      </c>
      <c r="Z16" s="19">
        <v>1</v>
      </c>
      <c r="AA16" s="19">
        <v>1</v>
      </c>
      <c r="AB16" s="13">
        <v>1</v>
      </c>
    </row>
    <row r="17" spans="1:28" ht="38.25" x14ac:dyDescent="0.25">
      <c r="A17" s="17" t="s">
        <v>194</v>
      </c>
      <c r="B17" s="8" t="s">
        <v>16</v>
      </c>
      <c r="C17" s="12" t="s">
        <v>195</v>
      </c>
      <c r="D17" s="8">
        <v>1</v>
      </c>
      <c r="E17" s="8">
        <v>8</v>
      </c>
      <c r="F17" s="19">
        <v>0</v>
      </c>
      <c r="G17" s="19">
        <v>1</v>
      </c>
      <c r="H17" s="13">
        <v>0.125</v>
      </c>
      <c r="I17" s="8">
        <v>4</v>
      </c>
      <c r="J17" s="19">
        <v>1</v>
      </c>
      <c r="K17" s="19">
        <v>1</v>
      </c>
      <c r="L17" s="13">
        <v>0.25</v>
      </c>
      <c r="M17" s="8">
        <v>7</v>
      </c>
      <c r="N17" s="19">
        <v>0</v>
      </c>
      <c r="O17" s="19">
        <v>1</v>
      </c>
      <c r="P17" s="13">
        <v>0.14285714285714279</v>
      </c>
      <c r="Q17" s="8">
        <v>5</v>
      </c>
      <c r="R17" s="19">
        <v>1</v>
      </c>
      <c r="S17" s="19">
        <v>1</v>
      </c>
      <c r="T17" s="13">
        <v>0.2</v>
      </c>
      <c r="U17" s="8">
        <v>1</v>
      </c>
      <c r="V17" s="19">
        <v>1</v>
      </c>
      <c r="W17" s="19">
        <v>1</v>
      </c>
      <c r="X17" s="13">
        <v>1</v>
      </c>
      <c r="Y17" s="8">
        <v>1</v>
      </c>
      <c r="Z17" s="19">
        <v>1</v>
      </c>
      <c r="AA17" s="19">
        <v>1</v>
      </c>
      <c r="AB17" s="13">
        <v>1</v>
      </c>
    </row>
    <row r="18" spans="1:28" ht="25.5" x14ac:dyDescent="0.25">
      <c r="A18" s="17" t="s">
        <v>199</v>
      </c>
      <c r="B18" s="8" t="s">
        <v>16</v>
      </c>
      <c r="C18" s="12" t="s">
        <v>200</v>
      </c>
      <c r="D18" s="8">
        <v>2</v>
      </c>
      <c r="E18" s="8">
        <v>1</v>
      </c>
      <c r="F18" s="19">
        <v>1</v>
      </c>
      <c r="G18" s="19">
        <v>1</v>
      </c>
      <c r="H18" s="13">
        <v>1</v>
      </c>
      <c r="I18" s="8">
        <v>1</v>
      </c>
      <c r="J18" s="19">
        <v>1</v>
      </c>
      <c r="K18" s="19">
        <v>1</v>
      </c>
      <c r="L18" s="13">
        <v>1</v>
      </c>
      <c r="M18" s="8">
        <v>1</v>
      </c>
      <c r="N18" s="19">
        <v>0.5</v>
      </c>
      <c r="O18" s="19">
        <v>0.5</v>
      </c>
      <c r="P18" s="13">
        <v>1</v>
      </c>
      <c r="Q18" s="8">
        <v>1</v>
      </c>
      <c r="R18" s="19">
        <v>0.5</v>
      </c>
      <c r="S18" s="19">
        <v>1</v>
      </c>
      <c r="T18" s="13">
        <v>1</v>
      </c>
      <c r="U18" s="8">
        <v>1</v>
      </c>
      <c r="V18" s="19">
        <v>1</v>
      </c>
      <c r="W18" s="19">
        <v>1</v>
      </c>
      <c r="X18" s="13">
        <v>1</v>
      </c>
      <c r="Y18" s="8">
        <v>1</v>
      </c>
      <c r="Z18" s="19">
        <v>1</v>
      </c>
      <c r="AA18" s="19">
        <v>1</v>
      </c>
      <c r="AB18" s="13">
        <v>1</v>
      </c>
    </row>
    <row r="19" spans="1:28" ht="25.5" x14ac:dyDescent="0.25">
      <c r="A19" s="17" t="s">
        <v>206</v>
      </c>
      <c r="B19" s="8" t="s">
        <v>16</v>
      </c>
      <c r="C19" s="12" t="s">
        <v>207</v>
      </c>
      <c r="D19" s="8">
        <v>1</v>
      </c>
      <c r="E19" s="8" t="s">
        <v>664</v>
      </c>
      <c r="F19" s="19">
        <v>0</v>
      </c>
      <c r="G19" s="19">
        <v>0</v>
      </c>
      <c r="H19" s="13">
        <v>0</v>
      </c>
      <c r="I19" s="8" t="s">
        <v>664</v>
      </c>
      <c r="J19" s="19">
        <v>0</v>
      </c>
      <c r="K19" s="19">
        <v>0</v>
      </c>
      <c r="L19" s="13">
        <v>0</v>
      </c>
      <c r="M19" s="8">
        <v>4</v>
      </c>
      <c r="N19" s="19">
        <v>1</v>
      </c>
      <c r="O19" s="19">
        <v>1</v>
      </c>
      <c r="P19" s="13">
        <v>0.25</v>
      </c>
      <c r="Q19" s="8">
        <v>8</v>
      </c>
      <c r="R19" s="19">
        <v>0</v>
      </c>
      <c r="S19" s="19">
        <v>1</v>
      </c>
      <c r="T19" s="13">
        <v>0.125</v>
      </c>
      <c r="U19" s="8">
        <v>2</v>
      </c>
      <c r="V19" s="19">
        <v>1</v>
      </c>
      <c r="W19" s="19">
        <v>1</v>
      </c>
      <c r="X19" s="13">
        <v>0.5</v>
      </c>
      <c r="Y19" s="8">
        <v>2</v>
      </c>
      <c r="Z19" s="19">
        <v>1</v>
      </c>
      <c r="AA19" s="19">
        <v>1</v>
      </c>
      <c r="AB19" s="13">
        <v>0.5</v>
      </c>
    </row>
    <row r="20" spans="1:28" ht="25.5" x14ac:dyDescent="0.25">
      <c r="A20" s="17" t="s">
        <v>213</v>
      </c>
      <c r="B20" s="8" t="s">
        <v>16</v>
      </c>
      <c r="C20" s="12" t="s">
        <v>214</v>
      </c>
      <c r="D20" s="8">
        <v>1</v>
      </c>
      <c r="E20" s="8" t="s">
        <v>664</v>
      </c>
      <c r="F20" s="19">
        <v>0</v>
      </c>
      <c r="G20" s="19">
        <v>0</v>
      </c>
      <c r="H20" s="13">
        <v>0</v>
      </c>
      <c r="I20" s="8" t="s">
        <v>664</v>
      </c>
      <c r="J20" s="19">
        <v>0</v>
      </c>
      <c r="K20" s="19">
        <v>0</v>
      </c>
      <c r="L20" s="13">
        <v>0</v>
      </c>
      <c r="M20" s="8">
        <v>17</v>
      </c>
      <c r="N20" s="19">
        <v>0</v>
      </c>
      <c r="O20" s="19">
        <v>0</v>
      </c>
      <c r="P20" s="13">
        <v>5.8823529411764712E-2</v>
      </c>
      <c r="Q20" s="8">
        <v>6</v>
      </c>
      <c r="R20" s="19">
        <v>0</v>
      </c>
      <c r="S20" s="19">
        <v>1</v>
      </c>
      <c r="T20" s="13">
        <v>0.16666666666666671</v>
      </c>
      <c r="U20" s="8">
        <v>1</v>
      </c>
      <c r="V20" s="19">
        <v>1</v>
      </c>
      <c r="W20" s="19">
        <v>1</v>
      </c>
      <c r="X20" s="13">
        <v>1</v>
      </c>
      <c r="Y20" s="8">
        <v>1</v>
      </c>
      <c r="Z20" s="19">
        <v>1</v>
      </c>
      <c r="AA20" s="19">
        <v>1</v>
      </c>
      <c r="AB20" s="13">
        <v>1</v>
      </c>
    </row>
    <row r="21" spans="1:28" ht="25.5" x14ac:dyDescent="0.25">
      <c r="A21" s="17" t="s">
        <v>220</v>
      </c>
      <c r="B21" s="8" t="s">
        <v>16</v>
      </c>
      <c r="C21" s="12" t="s">
        <v>221</v>
      </c>
      <c r="D21" s="8">
        <v>1</v>
      </c>
      <c r="E21" s="8">
        <v>1</v>
      </c>
      <c r="F21" s="19">
        <v>1</v>
      </c>
      <c r="G21" s="19">
        <v>1</v>
      </c>
      <c r="H21" s="13">
        <v>1</v>
      </c>
      <c r="I21" s="8">
        <v>1</v>
      </c>
      <c r="J21" s="19">
        <v>1</v>
      </c>
      <c r="K21" s="19">
        <v>1</v>
      </c>
      <c r="L21" s="13">
        <v>1</v>
      </c>
      <c r="M21" s="8">
        <v>3</v>
      </c>
      <c r="N21" s="19">
        <v>1</v>
      </c>
      <c r="O21" s="19">
        <v>1</v>
      </c>
      <c r="P21" s="13">
        <v>0.33333333333333331</v>
      </c>
      <c r="Q21" s="8">
        <v>1</v>
      </c>
      <c r="R21" s="19">
        <v>1</v>
      </c>
      <c r="S21" s="19">
        <v>1</v>
      </c>
      <c r="T21" s="13">
        <v>1</v>
      </c>
      <c r="U21" s="8">
        <v>1</v>
      </c>
      <c r="V21" s="19">
        <v>1</v>
      </c>
      <c r="W21" s="19">
        <v>1</v>
      </c>
      <c r="X21" s="13">
        <v>1</v>
      </c>
      <c r="Y21" s="8">
        <v>1</v>
      </c>
      <c r="Z21" s="19">
        <v>1</v>
      </c>
      <c r="AA21" s="19">
        <v>1</v>
      </c>
      <c r="AB21" s="13">
        <v>1</v>
      </c>
    </row>
    <row r="22" spans="1:28" ht="25.5" x14ac:dyDescent="0.25">
      <c r="A22" s="17" t="s">
        <v>227</v>
      </c>
      <c r="B22" s="8" t="s">
        <v>16</v>
      </c>
      <c r="C22" s="12" t="s">
        <v>228</v>
      </c>
      <c r="D22" s="8">
        <v>1</v>
      </c>
      <c r="E22" s="8">
        <v>18</v>
      </c>
      <c r="F22" s="19">
        <v>0</v>
      </c>
      <c r="G22" s="19">
        <v>0</v>
      </c>
      <c r="H22" s="13">
        <v>5.5555555555555552E-2</v>
      </c>
      <c r="I22" s="8">
        <v>1</v>
      </c>
      <c r="J22" s="19">
        <v>1</v>
      </c>
      <c r="K22" s="19">
        <v>1</v>
      </c>
      <c r="L22" s="13">
        <v>1</v>
      </c>
      <c r="M22" s="8">
        <v>8</v>
      </c>
      <c r="N22" s="19">
        <v>0</v>
      </c>
      <c r="O22" s="19">
        <v>1</v>
      </c>
      <c r="P22" s="13">
        <v>0.125</v>
      </c>
      <c r="Q22" s="8">
        <v>2</v>
      </c>
      <c r="R22" s="19">
        <v>1</v>
      </c>
      <c r="S22" s="19">
        <v>1</v>
      </c>
      <c r="T22" s="13">
        <v>0.5</v>
      </c>
      <c r="U22" s="8">
        <v>2</v>
      </c>
      <c r="V22" s="19">
        <v>1</v>
      </c>
      <c r="W22" s="19">
        <v>1</v>
      </c>
      <c r="X22" s="13">
        <v>0.5</v>
      </c>
      <c r="Y22" s="8">
        <v>2</v>
      </c>
      <c r="Z22" s="19">
        <v>1</v>
      </c>
      <c r="AA22" s="19">
        <v>1</v>
      </c>
      <c r="AB22" s="13">
        <v>0.5</v>
      </c>
    </row>
    <row r="23" spans="1:28" ht="25.5" x14ac:dyDescent="0.25">
      <c r="A23" s="17" t="s">
        <v>234</v>
      </c>
      <c r="B23" s="8" t="s">
        <v>16</v>
      </c>
      <c r="C23" s="12" t="s">
        <v>235</v>
      </c>
      <c r="D23" s="8">
        <v>1</v>
      </c>
      <c r="E23" s="8" t="s">
        <v>664</v>
      </c>
      <c r="F23" s="19">
        <v>0</v>
      </c>
      <c r="G23" s="19">
        <v>0</v>
      </c>
      <c r="H23" s="13">
        <v>0</v>
      </c>
      <c r="I23" s="8" t="s">
        <v>664</v>
      </c>
      <c r="J23" s="19">
        <v>0</v>
      </c>
      <c r="K23" s="19">
        <v>0</v>
      </c>
      <c r="L23" s="13">
        <v>0</v>
      </c>
      <c r="M23" s="8">
        <v>2</v>
      </c>
      <c r="N23" s="19">
        <v>1</v>
      </c>
      <c r="O23" s="19">
        <v>1</v>
      </c>
      <c r="P23" s="13">
        <v>0.5</v>
      </c>
      <c r="Q23" s="8">
        <v>3</v>
      </c>
      <c r="R23" s="19">
        <v>1</v>
      </c>
      <c r="S23" s="19">
        <v>1</v>
      </c>
      <c r="T23" s="13">
        <v>0.33333333333333331</v>
      </c>
      <c r="U23" s="8">
        <v>1</v>
      </c>
      <c r="V23" s="19">
        <v>1</v>
      </c>
      <c r="W23" s="19">
        <v>1</v>
      </c>
      <c r="X23" s="13">
        <v>1</v>
      </c>
      <c r="Y23" s="8">
        <v>1</v>
      </c>
      <c r="Z23" s="19">
        <v>1</v>
      </c>
      <c r="AA23" s="19">
        <v>1</v>
      </c>
      <c r="AB23" s="13">
        <v>1</v>
      </c>
    </row>
    <row r="24" spans="1:28" ht="25.5" x14ac:dyDescent="0.25">
      <c r="A24" s="17" t="s">
        <v>240</v>
      </c>
      <c r="B24" s="8" t="s">
        <v>16</v>
      </c>
      <c r="C24" s="12" t="s">
        <v>241</v>
      </c>
      <c r="D24" s="8">
        <v>1</v>
      </c>
      <c r="E24" s="8">
        <v>3</v>
      </c>
      <c r="F24" s="19">
        <v>1</v>
      </c>
      <c r="G24" s="19">
        <v>1</v>
      </c>
      <c r="H24" s="13">
        <v>0.33333333333333331</v>
      </c>
      <c r="I24" s="8">
        <v>1</v>
      </c>
      <c r="J24" s="19">
        <v>1</v>
      </c>
      <c r="K24" s="19">
        <v>1</v>
      </c>
      <c r="L24" s="13">
        <v>1</v>
      </c>
      <c r="M24" s="8">
        <v>6</v>
      </c>
      <c r="N24" s="19">
        <v>0</v>
      </c>
      <c r="O24" s="19">
        <v>1</v>
      </c>
      <c r="P24" s="13">
        <v>0.16666666666666671</v>
      </c>
      <c r="Q24" s="8">
        <v>10</v>
      </c>
      <c r="R24" s="19">
        <v>0</v>
      </c>
      <c r="S24" s="19">
        <v>1</v>
      </c>
      <c r="T24" s="13">
        <v>0.1</v>
      </c>
      <c r="U24" s="8">
        <v>1</v>
      </c>
      <c r="V24" s="19">
        <v>1</v>
      </c>
      <c r="W24" s="19">
        <v>1</v>
      </c>
      <c r="X24" s="13">
        <v>1</v>
      </c>
      <c r="Y24" s="8">
        <v>1</v>
      </c>
      <c r="Z24" s="19">
        <v>1</v>
      </c>
      <c r="AA24" s="19">
        <v>1</v>
      </c>
      <c r="AB24" s="13">
        <v>1</v>
      </c>
    </row>
    <row r="25" spans="1:28" ht="25.5" x14ac:dyDescent="0.25">
      <c r="A25" s="17" t="s">
        <v>246</v>
      </c>
      <c r="B25" s="8" t="s">
        <v>16</v>
      </c>
      <c r="C25" s="12" t="s">
        <v>247</v>
      </c>
      <c r="D25" s="8">
        <v>1</v>
      </c>
      <c r="E25" s="8">
        <v>4</v>
      </c>
      <c r="F25" s="19">
        <v>1</v>
      </c>
      <c r="G25" s="19">
        <v>1</v>
      </c>
      <c r="H25" s="13">
        <v>0.25</v>
      </c>
      <c r="I25" s="8">
        <v>1</v>
      </c>
      <c r="J25" s="19">
        <v>1</v>
      </c>
      <c r="K25" s="19">
        <v>1</v>
      </c>
      <c r="L25" s="13">
        <v>1</v>
      </c>
      <c r="M25" s="8">
        <v>1</v>
      </c>
      <c r="N25" s="19">
        <v>1</v>
      </c>
      <c r="O25" s="19">
        <v>1</v>
      </c>
      <c r="P25" s="13">
        <v>1</v>
      </c>
      <c r="Q25" s="8">
        <v>1</v>
      </c>
      <c r="R25" s="19">
        <v>1</v>
      </c>
      <c r="S25" s="19">
        <v>1</v>
      </c>
      <c r="T25" s="13">
        <v>1</v>
      </c>
      <c r="U25" s="8">
        <v>1</v>
      </c>
      <c r="V25" s="19">
        <v>1</v>
      </c>
      <c r="W25" s="19">
        <v>1</v>
      </c>
      <c r="X25" s="13">
        <v>1</v>
      </c>
      <c r="Y25" s="8">
        <v>1</v>
      </c>
      <c r="Z25" s="19">
        <v>1</v>
      </c>
      <c r="AA25" s="19">
        <v>1</v>
      </c>
      <c r="AB25" s="13">
        <v>1</v>
      </c>
    </row>
    <row r="26" spans="1:28" ht="25.5" x14ac:dyDescent="0.25">
      <c r="A26" s="17" t="s">
        <v>253</v>
      </c>
      <c r="B26" s="8" t="s">
        <v>16</v>
      </c>
      <c r="C26" s="12" t="s">
        <v>254</v>
      </c>
      <c r="D26" s="8">
        <v>1</v>
      </c>
      <c r="E26" s="8">
        <v>1</v>
      </c>
      <c r="F26" s="19">
        <v>1</v>
      </c>
      <c r="G26" s="19">
        <v>1</v>
      </c>
      <c r="H26" s="13">
        <v>1</v>
      </c>
      <c r="I26" s="8">
        <v>1</v>
      </c>
      <c r="J26" s="19">
        <v>1</v>
      </c>
      <c r="K26" s="19">
        <v>1</v>
      </c>
      <c r="L26" s="13">
        <v>1</v>
      </c>
      <c r="M26" s="8">
        <v>1</v>
      </c>
      <c r="N26" s="19">
        <v>1</v>
      </c>
      <c r="O26" s="19">
        <v>1</v>
      </c>
      <c r="P26" s="13">
        <v>1</v>
      </c>
      <c r="Q26" s="8">
        <v>1</v>
      </c>
      <c r="R26" s="19">
        <v>1</v>
      </c>
      <c r="S26" s="19">
        <v>1</v>
      </c>
      <c r="T26" s="13">
        <v>1</v>
      </c>
      <c r="U26" s="8">
        <v>1</v>
      </c>
      <c r="V26" s="19">
        <v>1</v>
      </c>
      <c r="W26" s="19">
        <v>1</v>
      </c>
      <c r="X26" s="13">
        <v>1</v>
      </c>
      <c r="Y26" s="8">
        <v>1</v>
      </c>
      <c r="Z26" s="19">
        <v>1</v>
      </c>
      <c r="AA26" s="19">
        <v>1</v>
      </c>
      <c r="AB26" s="13">
        <v>1</v>
      </c>
    </row>
    <row r="27" spans="1:28" ht="25.5" x14ac:dyDescent="0.25">
      <c r="A27" s="17" t="s">
        <v>258</v>
      </c>
      <c r="B27" s="8" t="s">
        <v>16</v>
      </c>
      <c r="C27" s="12" t="s">
        <v>259</v>
      </c>
      <c r="D27" s="8">
        <v>1</v>
      </c>
      <c r="E27" s="8" t="s">
        <v>664</v>
      </c>
      <c r="F27" s="19">
        <v>0</v>
      </c>
      <c r="G27" s="19">
        <v>0</v>
      </c>
      <c r="H27" s="13">
        <v>0</v>
      </c>
      <c r="I27" s="8" t="s">
        <v>664</v>
      </c>
      <c r="J27" s="19">
        <v>0</v>
      </c>
      <c r="K27" s="19">
        <v>0</v>
      </c>
      <c r="L27" s="13">
        <v>0</v>
      </c>
      <c r="M27" s="8" t="s">
        <v>664</v>
      </c>
      <c r="N27" s="19">
        <v>0</v>
      </c>
      <c r="O27" s="19">
        <v>0</v>
      </c>
      <c r="P27" s="13">
        <v>0</v>
      </c>
      <c r="Q27" s="8" t="s">
        <v>664</v>
      </c>
      <c r="R27" s="19">
        <v>0</v>
      </c>
      <c r="S27" s="19">
        <v>0</v>
      </c>
      <c r="T27" s="13">
        <v>0</v>
      </c>
      <c r="U27" s="8" t="s">
        <v>664</v>
      </c>
      <c r="V27" s="19">
        <v>0</v>
      </c>
      <c r="W27" s="19">
        <v>0</v>
      </c>
      <c r="X27" s="13">
        <v>0</v>
      </c>
      <c r="Y27" s="8" t="s">
        <v>664</v>
      </c>
      <c r="Z27" s="19">
        <v>0</v>
      </c>
      <c r="AA27" s="19">
        <v>0</v>
      </c>
      <c r="AB27" s="13">
        <v>0</v>
      </c>
    </row>
    <row r="28" spans="1:28" ht="38.25" x14ac:dyDescent="0.25">
      <c r="A28" s="17" t="s">
        <v>264</v>
      </c>
      <c r="B28" s="8" t="s">
        <v>16</v>
      </c>
      <c r="C28" s="12" t="s">
        <v>265</v>
      </c>
      <c r="D28" s="8">
        <v>1</v>
      </c>
      <c r="E28" s="8" t="s">
        <v>664</v>
      </c>
      <c r="F28" s="19">
        <v>0</v>
      </c>
      <c r="G28" s="19">
        <v>0</v>
      </c>
      <c r="H28" s="13">
        <v>0</v>
      </c>
      <c r="I28" s="8" t="s">
        <v>664</v>
      </c>
      <c r="J28" s="19">
        <v>0</v>
      </c>
      <c r="K28" s="19">
        <v>0</v>
      </c>
      <c r="L28" s="13">
        <v>0</v>
      </c>
      <c r="M28" s="8" t="s">
        <v>664</v>
      </c>
      <c r="N28" s="19">
        <v>0</v>
      </c>
      <c r="O28" s="19">
        <v>0</v>
      </c>
      <c r="P28" s="13">
        <v>0</v>
      </c>
      <c r="Q28" s="8" t="s">
        <v>664</v>
      </c>
      <c r="R28" s="19">
        <v>0</v>
      </c>
      <c r="S28" s="19">
        <v>0</v>
      </c>
      <c r="T28" s="13">
        <v>0</v>
      </c>
      <c r="U28" s="8" t="s">
        <v>664</v>
      </c>
      <c r="V28" s="19">
        <v>0</v>
      </c>
      <c r="W28" s="19">
        <v>0</v>
      </c>
      <c r="X28" s="13">
        <v>0</v>
      </c>
      <c r="Y28" s="8">
        <v>3</v>
      </c>
      <c r="Z28" s="19">
        <v>1</v>
      </c>
      <c r="AA28" s="19">
        <v>1</v>
      </c>
      <c r="AB28" s="13">
        <v>0.33333333333333331</v>
      </c>
    </row>
    <row r="29" spans="1:28" ht="25.5" x14ac:dyDescent="0.25">
      <c r="A29" s="17" t="s">
        <v>269</v>
      </c>
      <c r="B29" s="8" t="s">
        <v>16</v>
      </c>
      <c r="C29" s="12" t="s">
        <v>270</v>
      </c>
      <c r="D29" s="8">
        <v>1</v>
      </c>
      <c r="E29" s="8">
        <v>10</v>
      </c>
      <c r="F29" s="19">
        <v>0</v>
      </c>
      <c r="G29" s="19">
        <v>1</v>
      </c>
      <c r="H29" s="13">
        <v>0.1</v>
      </c>
      <c r="I29" s="8">
        <v>4</v>
      </c>
      <c r="J29" s="19">
        <v>1</v>
      </c>
      <c r="K29" s="19">
        <v>1</v>
      </c>
      <c r="L29" s="13">
        <v>0.25</v>
      </c>
      <c r="M29" s="8">
        <v>1</v>
      </c>
      <c r="N29" s="19">
        <v>1</v>
      </c>
      <c r="O29" s="19">
        <v>1</v>
      </c>
      <c r="P29" s="13">
        <v>1</v>
      </c>
      <c r="Q29" s="8">
        <v>1</v>
      </c>
      <c r="R29" s="19">
        <v>1</v>
      </c>
      <c r="S29" s="19">
        <v>1</v>
      </c>
      <c r="T29" s="13">
        <v>1</v>
      </c>
      <c r="U29" s="8">
        <v>2</v>
      </c>
      <c r="V29" s="19">
        <v>1</v>
      </c>
      <c r="W29" s="19">
        <v>1</v>
      </c>
      <c r="X29" s="13">
        <v>0.5</v>
      </c>
      <c r="Y29" s="8">
        <v>2</v>
      </c>
      <c r="Z29" s="19">
        <v>1</v>
      </c>
      <c r="AA29" s="19">
        <v>1</v>
      </c>
      <c r="AB29" s="13">
        <v>0.5</v>
      </c>
    </row>
    <row r="30" spans="1:28" ht="25.5" x14ac:dyDescent="0.25">
      <c r="A30" s="17" t="s">
        <v>276</v>
      </c>
      <c r="B30" s="8" t="s">
        <v>16</v>
      </c>
      <c r="C30" s="12" t="s">
        <v>277</v>
      </c>
      <c r="D30" s="8">
        <v>2</v>
      </c>
      <c r="E30" s="8" t="s">
        <v>664</v>
      </c>
      <c r="F30" s="19">
        <v>0</v>
      </c>
      <c r="G30" s="19">
        <v>0</v>
      </c>
      <c r="H30" s="13">
        <v>0</v>
      </c>
      <c r="I30" s="8" t="s">
        <v>664</v>
      </c>
      <c r="J30" s="19">
        <v>0</v>
      </c>
      <c r="K30" s="19">
        <v>0</v>
      </c>
      <c r="L30" s="13">
        <v>0</v>
      </c>
      <c r="M30" s="8">
        <v>1</v>
      </c>
      <c r="N30" s="19">
        <v>0.5</v>
      </c>
      <c r="O30" s="19">
        <v>1</v>
      </c>
      <c r="P30" s="13">
        <v>1</v>
      </c>
      <c r="Q30" s="8">
        <v>1</v>
      </c>
      <c r="R30" s="19">
        <v>1</v>
      </c>
      <c r="S30" s="19">
        <v>1</v>
      </c>
      <c r="T30" s="13">
        <v>1</v>
      </c>
      <c r="U30" s="8">
        <v>1</v>
      </c>
      <c r="V30" s="19">
        <v>1</v>
      </c>
      <c r="W30" s="19">
        <v>1</v>
      </c>
      <c r="X30" s="13">
        <v>1</v>
      </c>
      <c r="Y30" s="8">
        <v>1</v>
      </c>
      <c r="Z30" s="19">
        <v>1</v>
      </c>
      <c r="AA30" s="19">
        <v>1</v>
      </c>
      <c r="AB30" s="13">
        <v>1</v>
      </c>
    </row>
    <row r="31" spans="1:28" ht="25.5" x14ac:dyDescent="0.25">
      <c r="A31" s="17" t="s">
        <v>283</v>
      </c>
      <c r="B31" s="8" t="s">
        <v>16</v>
      </c>
      <c r="C31" s="12" t="s">
        <v>284</v>
      </c>
      <c r="D31" s="8">
        <v>1</v>
      </c>
      <c r="E31" s="8">
        <v>1</v>
      </c>
      <c r="F31" s="19">
        <v>1</v>
      </c>
      <c r="G31" s="19">
        <v>1</v>
      </c>
      <c r="H31" s="13">
        <v>1</v>
      </c>
      <c r="I31" s="8">
        <v>1</v>
      </c>
      <c r="J31" s="19">
        <v>1</v>
      </c>
      <c r="K31" s="19">
        <v>1</v>
      </c>
      <c r="L31" s="13">
        <v>1</v>
      </c>
      <c r="M31" s="8">
        <v>16</v>
      </c>
      <c r="N31" s="19">
        <v>0</v>
      </c>
      <c r="O31" s="19">
        <v>0</v>
      </c>
      <c r="P31" s="13">
        <v>6.25E-2</v>
      </c>
      <c r="Q31" s="8">
        <v>4</v>
      </c>
      <c r="R31" s="19">
        <v>1</v>
      </c>
      <c r="S31" s="19">
        <v>1</v>
      </c>
      <c r="T31" s="13">
        <v>0.25</v>
      </c>
      <c r="U31" s="8">
        <v>1</v>
      </c>
      <c r="V31" s="19">
        <v>1</v>
      </c>
      <c r="W31" s="19">
        <v>1</v>
      </c>
      <c r="X31" s="13">
        <v>1</v>
      </c>
      <c r="Y31" s="8">
        <v>1</v>
      </c>
      <c r="Z31" s="19">
        <v>1</v>
      </c>
      <c r="AA31" s="19">
        <v>1</v>
      </c>
      <c r="AB31" s="13">
        <v>1</v>
      </c>
    </row>
    <row r="32" spans="1:28" ht="25.5" x14ac:dyDescent="0.25">
      <c r="A32" s="17" t="s">
        <v>289</v>
      </c>
      <c r="B32" s="8" t="s">
        <v>16</v>
      </c>
      <c r="C32" s="12" t="s">
        <v>290</v>
      </c>
      <c r="D32" s="8">
        <v>1</v>
      </c>
      <c r="E32" s="8">
        <v>26</v>
      </c>
      <c r="F32" s="19">
        <v>0</v>
      </c>
      <c r="G32" s="19">
        <v>0</v>
      </c>
      <c r="H32" s="13">
        <v>3.8461538461538457E-2</v>
      </c>
      <c r="I32" s="8">
        <v>4</v>
      </c>
      <c r="J32" s="19">
        <v>1</v>
      </c>
      <c r="K32" s="19">
        <v>1</v>
      </c>
      <c r="L32" s="13">
        <v>0.25</v>
      </c>
      <c r="M32" s="8">
        <v>20</v>
      </c>
      <c r="N32" s="19">
        <v>0</v>
      </c>
      <c r="O32" s="19">
        <v>0</v>
      </c>
      <c r="P32" s="13">
        <v>0.05</v>
      </c>
      <c r="Q32" s="8">
        <v>16</v>
      </c>
      <c r="R32" s="19">
        <v>0</v>
      </c>
      <c r="S32" s="19">
        <v>0</v>
      </c>
      <c r="T32" s="13">
        <v>6.25E-2</v>
      </c>
      <c r="U32" s="8">
        <v>5</v>
      </c>
      <c r="V32" s="19">
        <v>1</v>
      </c>
      <c r="W32" s="19">
        <v>1</v>
      </c>
      <c r="X32" s="13">
        <v>0.2</v>
      </c>
      <c r="Y32" s="8">
        <v>5</v>
      </c>
      <c r="Z32" s="19">
        <v>1</v>
      </c>
      <c r="AA32" s="19">
        <v>1</v>
      </c>
      <c r="AB32" s="13">
        <v>0.2</v>
      </c>
    </row>
    <row r="33" spans="1:28" ht="25.5" x14ac:dyDescent="0.25">
      <c r="A33" s="17" t="s">
        <v>294</v>
      </c>
      <c r="B33" s="8" t="s">
        <v>16</v>
      </c>
      <c r="C33" s="12" t="s">
        <v>295</v>
      </c>
      <c r="D33" s="8">
        <v>1</v>
      </c>
      <c r="E33" s="8" t="s">
        <v>664</v>
      </c>
      <c r="F33" s="19">
        <v>0</v>
      </c>
      <c r="G33" s="19">
        <v>0</v>
      </c>
      <c r="H33" s="13">
        <v>0</v>
      </c>
      <c r="I33" s="8" t="s">
        <v>664</v>
      </c>
      <c r="J33" s="19">
        <v>0</v>
      </c>
      <c r="K33" s="19">
        <v>0</v>
      </c>
      <c r="L33" s="13">
        <v>0</v>
      </c>
      <c r="M33" s="8">
        <v>3</v>
      </c>
      <c r="N33" s="19">
        <v>1</v>
      </c>
      <c r="O33" s="19">
        <v>1</v>
      </c>
      <c r="P33" s="13">
        <v>0.33333333333333331</v>
      </c>
      <c r="Q33" s="8">
        <v>3</v>
      </c>
      <c r="R33" s="19">
        <v>1</v>
      </c>
      <c r="S33" s="19">
        <v>1</v>
      </c>
      <c r="T33" s="13">
        <v>0.33333333333333331</v>
      </c>
      <c r="U33" s="8">
        <v>3</v>
      </c>
      <c r="V33" s="19">
        <v>1</v>
      </c>
      <c r="W33" s="19">
        <v>1</v>
      </c>
      <c r="X33" s="13">
        <v>0.33333333333333331</v>
      </c>
      <c r="Y33" s="8">
        <v>3</v>
      </c>
      <c r="Z33" s="19">
        <v>1</v>
      </c>
      <c r="AA33" s="19">
        <v>1</v>
      </c>
      <c r="AB33" s="13">
        <v>0.33333333333333331</v>
      </c>
    </row>
    <row r="34" spans="1:28" ht="25.5" x14ac:dyDescent="0.25">
      <c r="A34" s="17" t="s">
        <v>300</v>
      </c>
      <c r="B34" s="8" t="s">
        <v>16</v>
      </c>
      <c r="C34" s="12" t="s">
        <v>301</v>
      </c>
      <c r="D34" s="8">
        <v>1</v>
      </c>
      <c r="E34" s="8">
        <v>1</v>
      </c>
      <c r="F34" s="19">
        <v>1</v>
      </c>
      <c r="G34" s="19">
        <v>1</v>
      </c>
      <c r="H34" s="13">
        <v>1</v>
      </c>
      <c r="I34" s="8">
        <v>1</v>
      </c>
      <c r="J34" s="19">
        <v>1</v>
      </c>
      <c r="K34" s="19">
        <v>1</v>
      </c>
      <c r="L34" s="13">
        <v>1</v>
      </c>
      <c r="M34" s="8">
        <v>21</v>
      </c>
      <c r="N34" s="19">
        <v>0</v>
      </c>
      <c r="O34" s="19">
        <v>0</v>
      </c>
      <c r="P34" s="13">
        <v>4.7619047619047623E-2</v>
      </c>
      <c r="Q34" s="8">
        <v>14</v>
      </c>
      <c r="R34" s="19">
        <v>0</v>
      </c>
      <c r="S34" s="19">
        <v>0</v>
      </c>
      <c r="T34" s="13">
        <v>7.1428571428571425E-2</v>
      </c>
      <c r="U34" s="8">
        <v>2</v>
      </c>
      <c r="V34" s="19">
        <v>1</v>
      </c>
      <c r="W34" s="19">
        <v>1</v>
      </c>
      <c r="X34" s="13">
        <v>0.5</v>
      </c>
      <c r="Y34" s="8">
        <v>2</v>
      </c>
      <c r="Z34" s="19">
        <v>1</v>
      </c>
      <c r="AA34" s="19">
        <v>1</v>
      </c>
      <c r="AB34" s="13">
        <v>0.5</v>
      </c>
    </row>
    <row r="35" spans="1:28" ht="25.5" x14ac:dyDescent="0.25">
      <c r="A35" s="17" t="s">
        <v>306</v>
      </c>
      <c r="B35" s="8" t="s">
        <v>16</v>
      </c>
      <c r="C35" s="12" t="s">
        <v>307</v>
      </c>
      <c r="D35" s="8">
        <v>1</v>
      </c>
      <c r="E35" s="8">
        <v>1</v>
      </c>
      <c r="F35" s="19">
        <v>1</v>
      </c>
      <c r="G35" s="19">
        <v>1</v>
      </c>
      <c r="H35" s="13">
        <v>1</v>
      </c>
      <c r="I35" s="8">
        <v>1</v>
      </c>
      <c r="J35" s="19">
        <v>1</v>
      </c>
      <c r="K35" s="19">
        <v>1</v>
      </c>
      <c r="L35" s="13">
        <v>1</v>
      </c>
      <c r="M35" s="8">
        <v>1</v>
      </c>
      <c r="N35" s="19">
        <v>1</v>
      </c>
      <c r="O35" s="19">
        <v>1</v>
      </c>
      <c r="P35" s="13">
        <v>1</v>
      </c>
      <c r="Q35" s="8">
        <v>1</v>
      </c>
      <c r="R35" s="19">
        <v>1</v>
      </c>
      <c r="S35" s="19">
        <v>1</v>
      </c>
      <c r="T35" s="13">
        <v>1</v>
      </c>
      <c r="U35" s="8">
        <v>1</v>
      </c>
      <c r="V35" s="19">
        <v>1</v>
      </c>
      <c r="W35" s="19">
        <v>1</v>
      </c>
      <c r="X35" s="13">
        <v>1</v>
      </c>
      <c r="Y35" s="8">
        <v>1</v>
      </c>
      <c r="Z35" s="19">
        <v>1</v>
      </c>
      <c r="AA35" s="19">
        <v>1</v>
      </c>
      <c r="AB35" s="13">
        <v>1</v>
      </c>
    </row>
    <row r="36" spans="1:28" ht="25.5" x14ac:dyDescent="0.25">
      <c r="A36" s="17" t="s">
        <v>311</v>
      </c>
      <c r="B36" s="8" t="s">
        <v>16</v>
      </c>
      <c r="C36" s="12" t="s">
        <v>312</v>
      </c>
      <c r="D36" s="8">
        <v>1</v>
      </c>
      <c r="E36" s="8">
        <v>29</v>
      </c>
      <c r="F36" s="19">
        <v>0</v>
      </c>
      <c r="G36" s="19">
        <v>0</v>
      </c>
      <c r="H36" s="13">
        <v>3.4482758620689648E-2</v>
      </c>
      <c r="I36" s="8">
        <v>4</v>
      </c>
      <c r="J36" s="19">
        <v>1</v>
      </c>
      <c r="K36" s="19">
        <v>1</v>
      </c>
      <c r="L36" s="13">
        <v>0.25</v>
      </c>
      <c r="M36" s="8">
        <v>1</v>
      </c>
      <c r="N36" s="19">
        <v>1</v>
      </c>
      <c r="O36" s="19">
        <v>1</v>
      </c>
      <c r="P36" s="13">
        <v>1</v>
      </c>
      <c r="Q36" s="8">
        <v>1</v>
      </c>
      <c r="R36" s="19">
        <v>1</v>
      </c>
      <c r="S36" s="19">
        <v>1</v>
      </c>
      <c r="T36" s="13">
        <v>1</v>
      </c>
      <c r="U36" s="8">
        <v>1</v>
      </c>
      <c r="V36" s="19">
        <v>1</v>
      </c>
      <c r="W36" s="19">
        <v>1</v>
      </c>
      <c r="X36" s="13">
        <v>1</v>
      </c>
      <c r="Y36" s="8">
        <v>1</v>
      </c>
      <c r="Z36" s="19">
        <v>1</v>
      </c>
      <c r="AA36" s="19">
        <v>1</v>
      </c>
      <c r="AB36" s="13">
        <v>1</v>
      </c>
    </row>
    <row r="37" spans="1:28" ht="25.5" x14ac:dyDescent="0.25">
      <c r="A37" s="17" t="s">
        <v>317</v>
      </c>
      <c r="B37" s="8" t="s">
        <v>16</v>
      </c>
      <c r="C37" s="12" t="s">
        <v>318</v>
      </c>
      <c r="D37" s="8">
        <v>1</v>
      </c>
      <c r="E37" s="8">
        <v>3</v>
      </c>
      <c r="F37" s="19">
        <v>1</v>
      </c>
      <c r="G37" s="19">
        <v>1</v>
      </c>
      <c r="H37" s="13">
        <v>0.33333333333333331</v>
      </c>
      <c r="I37" s="8">
        <v>1</v>
      </c>
      <c r="J37" s="19">
        <v>1</v>
      </c>
      <c r="K37" s="19">
        <v>1</v>
      </c>
      <c r="L37" s="13">
        <v>1</v>
      </c>
      <c r="M37" s="8">
        <v>10</v>
      </c>
      <c r="N37" s="19">
        <v>0</v>
      </c>
      <c r="O37" s="19">
        <v>1</v>
      </c>
      <c r="P37" s="13">
        <v>0.1</v>
      </c>
      <c r="Q37" s="8">
        <v>1</v>
      </c>
      <c r="R37" s="19">
        <v>1</v>
      </c>
      <c r="S37" s="19">
        <v>1</v>
      </c>
      <c r="T37" s="13">
        <v>1</v>
      </c>
      <c r="U37" s="8">
        <v>1</v>
      </c>
      <c r="V37" s="19">
        <v>1</v>
      </c>
      <c r="W37" s="19">
        <v>1</v>
      </c>
      <c r="X37" s="13">
        <v>1</v>
      </c>
      <c r="Y37" s="8">
        <v>1</v>
      </c>
      <c r="Z37" s="19">
        <v>1</v>
      </c>
      <c r="AA37" s="19">
        <v>1</v>
      </c>
      <c r="AB37" s="13">
        <v>1</v>
      </c>
    </row>
    <row r="38" spans="1:28" ht="38.25" x14ac:dyDescent="0.25">
      <c r="A38" s="17" t="s">
        <v>323</v>
      </c>
      <c r="B38" s="8" t="s">
        <v>16</v>
      </c>
      <c r="C38" s="12" t="s">
        <v>324</v>
      </c>
      <c r="D38" s="8">
        <v>1</v>
      </c>
      <c r="E38" s="8" t="s">
        <v>664</v>
      </c>
      <c r="F38" s="19">
        <v>0</v>
      </c>
      <c r="G38" s="19">
        <v>0</v>
      </c>
      <c r="H38" s="13">
        <v>0</v>
      </c>
      <c r="I38" s="8" t="s">
        <v>664</v>
      </c>
      <c r="J38" s="19">
        <v>0</v>
      </c>
      <c r="K38" s="19">
        <v>0</v>
      </c>
      <c r="L38" s="13">
        <v>0</v>
      </c>
      <c r="M38" s="8" t="s">
        <v>664</v>
      </c>
      <c r="N38" s="19">
        <v>0</v>
      </c>
      <c r="O38" s="19">
        <v>0</v>
      </c>
      <c r="P38" s="13">
        <v>0</v>
      </c>
      <c r="Q38" s="8">
        <v>29</v>
      </c>
      <c r="R38" s="19">
        <v>0</v>
      </c>
      <c r="S38" s="19">
        <v>0</v>
      </c>
      <c r="T38" s="13">
        <v>3.4482758620689648E-2</v>
      </c>
      <c r="U38" s="8">
        <v>3</v>
      </c>
      <c r="V38" s="19">
        <v>1</v>
      </c>
      <c r="W38" s="19">
        <v>1</v>
      </c>
      <c r="X38" s="13">
        <v>0.33333333333333331</v>
      </c>
      <c r="Y38" s="8">
        <v>3</v>
      </c>
      <c r="Z38" s="19">
        <v>1</v>
      </c>
      <c r="AA38" s="19">
        <v>1</v>
      </c>
      <c r="AB38" s="13">
        <v>0.33333333333333331</v>
      </c>
    </row>
    <row r="39" spans="1:28" ht="25.5" x14ac:dyDescent="0.25">
      <c r="A39" s="17" t="s">
        <v>331</v>
      </c>
      <c r="B39" s="8" t="s">
        <v>16</v>
      </c>
      <c r="C39" s="12" t="s">
        <v>332</v>
      </c>
      <c r="D39" s="8">
        <v>1</v>
      </c>
      <c r="E39" s="8">
        <v>2</v>
      </c>
      <c r="F39" s="19">
        <v>1</v>
      </c>
      <c r="G39" s="19">
        <v>1</v>
      </c>
      <c r="H39" s="13">
        <v>0.5</v>
      </c>
      <c r="I39" s="8">
        <v>1</v>
      </c>
      <c r="J39" s="19">
        <v>1</v>
      </c>
      <c r="K39" s="19">
        <v>1</v>
      </c>
      <c r="L39" s="13">
        <v>1</v>
      </c>
      <c r="M39" s="8">
        <v>27</v>
      </c>
      <c r="N39" s="19">
        <v>0</v>
      </c>
      <c r="O39" s="19">
        <v>0</v>
      </c>
      <c r="P39" s="13">
        <v>3.7037037037037028E-2</v>
      </c>
      <c r="Q39" s="8" t="s">
        <v>664</v>
      </c>
      <c r="R39" s="19">
        <v>0</v>
      </c>
      <c r="S39" s="19">
        <v>0</v>
      </c>
      <c r="T39" s="13">
        <v>0</v>
      </c>
      <c r="U39" s="8" t="s">
        <v>664</v>
      </c>
      <c r="V39" s="19">
        <v>0</v>
      </c>
      <c r="W39" s="19">
        <v>0</v>
      </c>
      <c r="X39" s="13">
        <v>0</v>
      </c>
      <c r="Y39" s="8">
        <v>4</v>
      </c>
      <c r="Z39" s="19">
        <v>1</v>
      </c>
      <c r="AA39" s="19">
        <v>1</v>
      </c>
      <c r="AB39" s="13">
        <v>0.25</v>
      </c>
    </row>
    <row r="40" spans="1:28" ht="38.25" x14ac:dyDescent="0.25">
      <c r="A40" s="17" t="s">
        <v>338</v>
      </c>
      <c r="B40" s="8" t="s">
        <v>18</v>
      </c>
      <c r="C40" s="12" t="s">
        <v>339</v>
      </c>
      <c r="D40" s="8">
        <v>2</v>
      </c>
      <c r="E40" s="8">
        <v>29</v>
      </c>
      <c r="F40" s="19">
        <v>0</v>
      </c>
      <c r="G40" s="19">
        <v>0</v>
      </c>
      <c r="H40" s="13">
        <v>3.4482758620689648E-2</v>
      </c>
      <c r="I40" s="8">
        <v>3</v>
      </c>
      <c r="J40" s="19">
        <v>0.5</v>
      </c>
      <c r="K40" s="19">
        <v>0.5</v>
      </c>
      <c r="L40" s="13">
        <v>0.33333333333333331</v>
      </c>
      <c r="M40" s="8">
        <v>1</v>
      </c>
      <c r="N40" s="19">
        <v>0.5</v>
      </c>
      <c r="O40" s="19">
        <v>0.5</v>
      </c>
      <c r="P40" s="13">
        <v>1</v>
      </c>
      <c r="Q40" s="8">
        <v>1</v>
      </c>
      <c r="R40" s="19">
        <v>0.5</v>
      </c>
      <c r="S40" s="19">
        <v>0.5</v>
      </c>
      <c r="T40" s="13">
        <v>1</v>
      </c>
      <c r="U40" s="8">
        <v>1</v>
      </c>
      <c r="V40" s="19">
        <v>0.5</v>
      </c>
      <c r="W40" s="19">
        <v>0.5</v>
      </c>
      <c r="X40" s="13">
        <v>1</v>
      </c>
      <c r="Y40" s="8">
        <v>1</v>
      </c>
      <c r="Z40" s="19">
        <v>0.5</v>
      </c>
      <c r="AA40" s="19">
        <v>0.5</v>
      </c>
      <c r="AB40" s="13">
        <v>1</v>
      </c>
    </row>
    <row r="41" spans="1:28" ht="25.5" x14ac:dyDescent="0.25">
      <c r="A41" s="17" t="s">
        <v>343</v>
      </c>
      <c r="B41" s="8" t="s">
        <v>18</v>
      </c>
      <c r="C41" s="12" t="s">
        <v>344</v>
      </c>
      <c r="D41" s="8">
        <v>2</v>
      </c>
      <c r="E41" s="8" t="s">
        <v>664</v>
      </c>
      <c r="F41" s="19">
        <v>0</v>
      </c>
      <c r="G41" s="19">
        <v>0</v>
      </c>
      <c r="H41" s="13">
        <v>0</v>
      </c>
      <c r="I41" s="8" t="s">
        <v>664</v>
      </c>
      <c r="J41" s="19">
        <v>0</v>
      </c>
      <c r="K41" s="19">
        <v>0</v>
      </c>
      <c r="L41" s="13">
        <v>0</v>
      </c>
      <c r="M41" s="8" t="s">
        <v>664</v>
      </c>
      <c r="N41" s="19">
        <v>0</v>
      </c>
      <c r="O41" s="19">
        <v>0</v>
      </c>
      <c r="P41" s="13">
        <v>0</v>
      </c>
      <c r="Q41" s="8" t="s">
        <v>664</v>
      </c>
      <c r="R41" s="19">
        <v>0</v>
      </c>
      <c r="S41" s="19">
        <v>0</v>
      </c>
      <c r="T41" s="13">
        <v>0</v>
      </c>
      <c r="U41" s="8" t="s">
        <v>664</v>
      </c>
      <c r="V41" s="19">
        <v>0</v>
      </c>
      <c r="W41" s="19">
        <v>0</v>
      </c>
      <c r="X41" s="13">
        <v>0</v>
      </c>
      <c r="Y41" s="8">
        <v>23</v>
      </c>
      <c r="Z41" s="19">
        <v>0</v>
      </c>
      <c r="AA41" s="19">
        <v>0</v>
      </c>
      <c r="AB41" s="13">
        <v>4.3478260869565223E-2</v>
      </c>
    </row>
    <row r="42" spans="1:28" ht="51" x14ac:dyDescent="0.25">
      <c r="A42" s="17" t="s">
        <v>350</v>
      </c>
      <c r="B42" s="8" t="s">
        <v>18</v>
      </c>
      <c r="C42" s="12" t="s">
        <v>351</v>
      </c>
      <c r="D42" s="8">
        <v>2</v>
      </c>
      <c r="E42" s="8">
        <v>2</v>
      </c>
      <c r="F42" s="19">
        <v>0.5</v>
      </c>
      <c r="G42" s="19">
        <v>0.5</v>
      </c>
      <c r="H42" s="13">
        <v>0.5</v>
      </c>
      <c r="I42" s="8">
        <v>4</v>
      </c>
      <c r="J42" s="19">
        <v>0.5</v>
      </c>
      <c r="K42" s="19">
        <v>0.5</v>
      </c>
      <c r="L42" s="13">
        <v>0.25</v>
      </c>
      <c r="M42" s="8">
        <v>1</v>
      </c>
      <c r="N42" s="19">
        <v>0.5</v>
      </c>
      <c r="O42" s="19">
        <v>0.5</v>
      </c>
      <c r="P42" s="13">
        <v>1</v>
      </c>
      <c r="Q42" s="8">
        <v>1</v>
      </c>
      <c r="R42" s="19">
        <v>0.5</v>
      </c>
      <c r="S42" s="19">
        <v>0.5</v>
      </c>
      <c r="T42" s="13">
        <v>1</v>
      </c>
      <c r="U42" s="8">
        <v>1</v>
      </c>
      <c r="V42" s="19">
        <v>0.5</v>
      </c>
      <c r="W42" s="19">
        <v>0.5</v>
      </c>
      <c r="X42" s="13">
        <v>1</v>
      </c>
      <c r="Y42" s="8">
        <v>1</v>
      </c>
      <c r="Z42" s="19">
        <v>0.5</v>
      </c>
      <c r="AA42" s="19">
        <v>0.5</v>
      </c>
      <c r="AB42" s="13">
        <v>1</v>
      </c>
    </row>
    <row r="43" spans="1:28" ht="38.25" x14ac:dyDescent="0.25">
      <c r="A43" s="17" t="s">
        <v>355</v>
      </c>
      <c r="B43" s="8" t="s">
        <v>18</v>
      </c>
      <c r="C43" s="12" t="s">
        <v>356</v>
      </c>
      <c r="D43" s="8">
        <v>2</v>
      </c>
      <c r="E43" s="8">
        <v>5</v>
      </c>
      <c r="F43" s="19">
        <v>0.5</v>
      </c>
      <c r="G43" s="19">
        <v>0.5</v>
      </c>
      <c r="H43" s="13">
        <v>0.2</v>
      </c>
      <c r="I43" s="8">
        <v>1</v>
      </c>
      <c r="J43" s="19">
        <v>0.5</v>
      </c>
      <c r="K43" s="19">
        <v>0.5</v>
      </c>
      <c r="L43" s="13">
        <v>1</v>
      </c>
      <c r="M43" s="8">
        <v>7</v>
      </c>
      <c r="N43" s="19">
        <v>0</v>
      </c>
      <c r="O43" s="19">
        <v>0.5</v>
      </c>
      <c r="P43" s="13">
        <v>0.14285714285714279</v>
      </c>
      <c r="Q43" s="8">
        <v>4</v>
      </c>
      <c r="R43" s="19">
        <v>0.5</v>
      </c>
      <c r="S43" s="19">
        <v>0.5</v>
      </c>
      <c r="T43" s="13">
        <v>0.25</v>
      </c>
      <c r="U43" s="8">
        <v>1</v>
      </c>
      <c r="V43" s="19">
        <v>0.5</v>
      </c>
      <c r="W43" s="19">
        <v>0.5</v>
      </c>
      <c r="X43" s="13">
        <v>1</v>
      </c>
      <c r="Y43" s="8">
        <v>1</v>
      </c>
      <c r="Z43" s="19">
        <v>0.5</v>
      </c>
      <c r="AA43" s="19">
        <v>0.5</v>
      </c>
      <c r="AB43" s="13">
        <v>1</v>
      </c>
    </row>
    <row r="44" spans="1:28" ht="38.25" x14ac:dyDescent="0.25">
      <c r="A44" s="17" t="s">
        <v>361</v>
      </c>
      <c r="B44" s="8" t="s">
        <v>18</v>
      </c>
      <c r="C44" s="12" t="s">
        <v>362</v>
      </c>
      <c r="D44" s="8">
        <v>2</v>
      </c>
      <c r="E44" s="8" t="s">
        <v>664</v>
      </c>
      <c r="F44" s="19">
        <v>0</v>
      </c>
      <c r="G44" s="19">
        <v>0</v>
      </c>
      <c r="H44" s="13">
        <v>0</v>
      </c>
      <c r="I44" s="8" t="s">
        <v>664</v>
      </c>
      <c r="J44" s="19">
        <v>0</v>
      </c>
      <c r="K44" s="19">
        <v>0</v>
      </c>
      <c r="L44" s="13">
        <v>0</v>
      </c>
      <c r="M44" s="8">
        <v>3</v>
      </c>
      <c r="N44" s="19">
        <v>0.5</v>
      </c>
      <c r="O44" s="19">
        <v>0.5</v>
      </c>
      <c r="P44" s="13">
        <v>0.33333333333333331</v>
      </c>
      <c r="Q44" s="8">
        <v>1</v>
      </c>
      <c r="R44" s="19">
        <v>0.5</v>
      </c>
      <c r="S44" s="19">
        <v>0.5</v>
      </c>
      <c r="T44" s="13">
        <v>1</v>
      </c>
      <c r="U44" s="8">
        <v>1</v>
      </c>
      <c r="V44" s="19">
        <v>0.5</v>
      </c>
      <c r="W44" s="19">
        <v>0.5</v>
      </c>
      <c r="X44" s="13">
        <v>1</v>
      </c>
      <c r="Y44" s="8">
        <v>1</v>
      </c>
      <c r="Z44" s="19">
        <v>0.5</v>
      </c>
      <c r="AA44" s="19">
        <v>0.5</v>
      </c>
      <c r="AB44" s="13">
        <v>1</v>
      </c>
    </row>
    <row r="45" spans="1:28" ht="25.5" x14ac:dyDescent="0.25">
      <c r="A45" s="17" t="s">
        <v>367</v>
      </c>
      <c r="B45" s="8" t="s">
        <v>18</v>
      </c>
      <c r="C45" s="12" t="s">
        <v>368</v>
      </c>
      <c r="D45" s="8">
        <v>2</v>
      </c>
      <c r="E45" s="8">
        <v>7</v>
      </c>
      <c r="F45" s="19">
        <v>0</v>
      </c>
      <c r="G45" s="19">
        <v>0.5</v>
      </c>
      <c r="H45" s="13">
        <v>0.14285714285714279</v>
      </c>
      <c r="I45" s="8">
        <v>5</v>
      </c>
      <c r="J45" s="19">
        <v>0.5</v>
      </c>
      <c r="K45" s="19">
        <v>0.5</v>
      </c>
      <c r="L45" s="13">
        <v>0.2</v>
      </c>
      <c r="M45" s="8">
        <v>21</v>
      </c>
      <c r="N45" s="19">
        <v>0</v>
      </c>
      <c r="O45" s="19">
        <v>0</v>
      </c>
      <c r="P45" s="13">
        <v>4.7619047619047623E-2</v>
      </c>
      <c r="Q45" s="8">
        <v>15</v>
      </c>
      <c r="R45" s="19">
        <v>0</v>
      </c>
      <c r="S45" s="19">
        <v>0</v>
      </c>
      <c r="T45" s="13">
        <v>6.6666666666666666E-2</v>
      </c>
      <c r="U45" s="8">
        <v>1</v>
      </c>
      <c r="V45" s="19">
        <v>0.5</v>
      </c>
      <c r="W45" s="19">
        <v>1</v>
      </c>
      <c r="X45" s="13">
        <v>1</v>
      </c>
      <c r="Y45" s="8">
        <v>1</v>
      </c>
      <c r="Z45" s="19">
        <v>0.5</v>
      </c>
      <c r="AA45" s="19">
        <v>1</v>
      </c>
      <c r="AB45" s="13">
        <v>1</v>
      </c>
    </row>
    <row r="46" spans="1:28" ht="38.25" x14ac:dyDescent="0.25">
      <c r="A46" s="17" t="s">
        <v>373</v>
      </c>
      <c r="B46" s="8" t="s">
        <v>18</v>
      </c>
      <c r="C46" s="12" t="s">
        <v>374</v>
      </c>
      <c r="D46" s="8">
        <v>2</v>
      </c>
      <c r="E46" s="8">
        <v>1</v>
      </c>
      <c r="F46" s="19">
        <v>0.5</v>
      </c>
      <c r="G46" s="19">
        <v>0.5</v>
      </c>
      <c r="H46" s="13">
        <v>1</v>
      </c>
      <c r="I46" s="8">
        <v>2</v>
      </c>
      <c r="J46" s="19">
        <v>0.5</v>
      </c>
      <c r="K46" s="19">
        <v>0.5</v>
      </c>
      <c r="L46" s="13">
        <v>0.5</v>
      </c>
      <c r="M46" s="8">
        <v>9</v>
      </c>
      <c r="N46" s="19">
        <v>0</v>
      </c>
      <c r="O46" s="19">
        <v>0.5</v>
      </c>
      <c r="P46" s="13">
        <v>0.1111111111111111</v>
      </c>
      <c r="Q46" s="8">
        <v>4</v>
      </c>
      <c r="R46" s="19">
        <v>1</v>
      </c>
      <c r="S46" s="19">
        <v>1</v>
      </c>
      <c r="T46" s="13">
        <v>0.25</v>
      </c>
      <c r="U46" s="8">
        <v>1</v>
      </c>
      <c r="V46" s="19">
        <v>1</v>
      </c>
      <c r="W46" s="19">
        <v>1</v>
      </c>
      <c r="X46" s="13">
        <v>1</v>
      </c>
      <c r="Y46" s="8">
        <v>1</v>
      </c>
      <c r="Z46" s="19">
        <v>1</v>
      </c>
      <c r="AA46" s="19">
        <v>1</v>
      </c>
      <c r="AB46" s="13">
        <v>1</v>
      </c>
    </row>
    <row r="47" spans="1:28" ht="25.5" x14ac:dyDescent="0.25">
      <c r="A47" s="17" t="s">
        <v>379</v>
      </c>
      <c r="B47" s="8" t="s">
        <v>18</v>
      </c>
      <c r="C47" s="12" t="s">
        <v>380</v>
      </c>
      <c r="D47" s="8">
        <v>2</v>
      </c>
      <c r="E47" s="8">
        <v>2</v>
      </c>
      <c r="F47" s="19">
        <v>0.5</v>
      </c>
      <c r="G47" s="19">
        <v>0.5</v>
      </c>
      <c r="H47" s="13">
        <v>0.5</v>
      </c>
      <c r="I47" s="8">
        <v>1</v>
      </c>
      <c r="J47" s="19">
        <v>0.5</v>
      </c>
      <c r="K47" s="19">
        <v>0.5</v>
      </c>
      <c r="L47" s="13">
        <v>1</v>
      </c>
      <c r="M47" s="8">
        <v>9</v>
      </c>
      <c r="N47" s="19">
        <v>0</v>
      </c>
      <c r="O47" s="19">
        <v>0.5</v>
      </c>
      <c r="P47" s="13">
        <v>0.1111111111111111</v>
      </c>
      <c r="Q47" s="8">
        <v>2</v>
      </c>
      <c r="R47" s="19">
        <v>0.5</v>
      </c>
      <c r="S47" s="19">
        <v>0.5</v>
      </c>
      <c r="T47" s="13">
        <v>0.5</v>
      </c>
      <c r="U47" s="8">
        <v>1</v>
      </c>
      <c r="V47" s="19">
        <v>1</v>
      </c>
      <c r="W47" s="19">
        <v>1</v>
      </c>
      <c r="X47" s="13">
        <v>1</v>
      </c>
      <c r="Y47" s="8">
        <v>1</v>
      </c>
      <c r="Z47" s="19">
        <v>1</v>
      </c>
      <c r="AA47" s="19">
        <v>1</v>
      </c>
      <c r="AB47" s="13">
        <v>1</v>
      </c>
    </row>
    <row r="48" spans="1:28" ht="38.25" x14ac:dyDescent="0.25">
      <c r="A48" s="17" t="s">
        <v>385</v>
      </c>
      <c r="B48" s="8" t="s">
        <v>18</v>
      </c>
      <c r="C48" s="12" t="s">
        <v>386</v>
      </c>
      <c r="D48" s="8">
        <v>2</v>
      </c>
      <c r="E48" s="8">
        <v>7</v>
      </c>
      <c r="F48" s="19">
        <v>0</v>
      </c>
      <c r="G48" s="19">
        <v>1</v>
      </c>
      <c r="H48" s="13">
        <v>0.14285714285714279</v>
      </c>
      <c r="I48" s="8">
        <v>4</v>
      </c>
      <c r="J48" s="19">
        <v>1</v>
      </c>
      <c r="K48" s="19">
        <v>1</v>
      </c>
      <c r="L48" s="13">
        <v>0.25</v>
      </c>
      <c r="M48" s="8">
        <v>5</v>
      </c>
      <c r="N48" s="19">
        <v>0.5</v>
      </c>
      <c r="O48" s="19">
        <v>0.5</v>
      </c>
      <c r="P48" s="13">
        <v>0.2</v>
      </c>
      <c r="Q48" s="8">
        <v>5</v>
      </c>
      <c r="R48" s="19">
        <v>0.5</v>
      </c>
      <c r="S48" s="19">
        <v>0.5</v>
      </c>
      <c r="T48" s="13">
        <v>0.2</v>
      </c>
      <c r="U48" s="8">
        <v>2</v>
      </c>
      <c r="V48" s="19">
        <v>0.5</v>
      </c>
      <c r="W48" s="19">
        <v>0.5</v>
      </c>
      <c r="X48" s="13">
        <v>0.5</v>
      </c>
      <c r="Y48" s="8">
        <v>2</v>
      </c>
      <c r="Z48" s="19">
        <v>0.5</v>
      </c>
      <c r="AA48" s="19">
        <v>0.5</v>
      </c>
      <c r="AB48" s="13">
        <v>0.5</v>
      </c>
    </row>
    <row r="49" spans="1:28" ht="38.25" x14ac:dyDescent="0.25">
      <c r="A49" s="17" t="s">
        <v>392</v>
      </c>
      <c r="B49" s="8" t="s">
        <v>18</v>
      </c>
      <c r="C49" s="12" t="s">
        <v>393</v>
      </c>
      <c r="D49" s="8">
        <v>2</v>
      </c>
      <c r="E49" s="8">
        <v>1</v>
      </c>
      <c r="F49" s="19">
        <v>0.5</v>
      </c>
      <c r="G49" s="19">
        <v>0.5</v>
      </c>
      <c r="H49" s="13">
        <v>1</v>
      </c>
      <c r="I49" s="8">
        <v>1</v>
      </c>
      <c r="J49" s="19">
        <v>0.5</v>
      </c>
      <c r="K49" s="19">
        <v>0.5</v>
      </c>
      <c r="L49" s="13">
        <v>1</v>
      </c>
      <c r="M49" s="8">
        <v>2</v>
      </c>
      <c r="N49" s="19">
        <v>0.5</v>
      </c>
      <c r="O49" s="19">
        <v>0.5</v>
      </c>
      <c r="P49" s="13">
        <v>0.5</v>
      </c>
      <c r="Q49" s="8">
        <v>2</v>
      </c>
      <c r="R49" s="19">
        <v>0.5</v>
      </c>
      <c r="S49" s="19">
        <v>1</v>
      </c>
      <c r="T49" s="13">
        <v>0.5</v>
      </c>
      <c r="U49" s="8">
        <v>3</v>
      </c>
      <c r="V49" s="19">
        <v>0.5</v>
      </c>
      <c r="W49" s="19">
        <v>1</v>
      </c>
      <c r="X49" s="13">
        <v>0.33333333333333331</v>
      </c>
      <c r="Y49" s="8">
        <v>3</v>
      </c>
      <c r="Z49" s="19">
        <v>0.5</v>
      </c>
      <c r="AA49" s="19">
        <v>1</v>
      </c>
      <c r="AB49" s="13">
        <v>0.33333333333333331</v>
      </c>
    </row>
    <row r="50" spans="1:28" ht="38.25" x14ac:dyDescent="0.25">
      <c r="A50" s="17" t="s">
        <v>398</v>
      </c>
      <c r="B50" s="8" t="s">
        <v>18</v>
      </c>
      <c r="C50" s="12" t="s">
        <v>399</v>
      </c>
      <c r="D50" s="8">
        <v>2</v>
      </c>
      <c r="E50" s="8">
        <v>1</v>
      </c>
      <c r="F50" s="19">
        <v>0.5</v>
      </c>
      <c r="G50" s="19">
        <v>0.5</v>
      </c>
      <c r="H50" s="13">
        <v>1</v>
      </c>
      <c r="I50" s="8">
        <v>2</v>
      </c>
      <c r="J50" s="19">
        <v>0.5</v>
      </c>
      <c r="K50" s="19">
        <v>0.5</v>
      </c>
      <c r="L50" s="13">
        <v>0.5</v>
      </c>
      <c r="M50" s="8">
        <v>2</v>
      </c>
      <c r="N50" s="19">
        <v>0.5</v>
      </c>
      <c r="O50" s="19">
        <v>0.5</v>
      </c>
      <c r="P50" s="13">
        <v>0.5</v>
      </c>
      <c r="Q50" s="8">
        <v>1</v>
      </c>
      <c r="R50" s="19">
        <v>0.5</v>
      </c>
      <c r="S50" s="19">
        <v>0.5</v>
      </c>
      <c r="T50" s="13">
        <v>1</v>
      </c>
      <c r="U50" s="8">
        <v>1</v>
      </c>
      <c r="V50" s="19">
        <v>0.5</v>
      </c>
      <c r="W50" s="19">
        <v>0.5</v>
      </c>
      <c r="X50" s="13">
        <v>1</v>
      </c>
      <c r="Y50" s="8">
        <v>1</v>
      </c>
      <c r="Z50" s="19">
        <v>0.5</v>
      </c>
      <c r="AA50" s="19">
        <v>0.5</v>
      </c>
      <c r="AB50" s="13">
        <v>1</v>
      </c>
    </row>
    <row r="51" spans="1:28" ht="25.5" x14ac:dyDescent="0.25">
      <c r="A51" s="17" t="s">
        <v>404</v>
      </c>
      <c r="B51" s="8" t="s">
        <v>18</v>
      </c>
      <c r="C51" s="12" t="s">
        <v>405</v>
      </c>
      <c r="D51" s="8">
        <v>2</v>
      </c>
      <c r="E51" s="8" t="s">
        <v>664</v>
      </c>
      <c r="F51" s="19">
        <v>0</v>
      </c>
      <c r="G51" s="19">
        <v>0</v>
      </c>
      <c r="H51" s="13">
        <v>0</v>
      </c>
      <c r="I51" s="8" t="s">
        <v>664</v>
      </c>
      <c r="J51" s="19">
        <v>0</v>
      </c>
      <c r="K51" s="19">
        <v>0</v>
      </c>
      <c r="L51" s="13">
        <v>0</v>
      </c>
      <c r="M51" s="8">
        <v>11</v>
      </c>
      <c r="N51" s="19">
        <v>0</v>
      </c>
      <c r="O51" s="19">
        <v>0</v>
      </c>
      <c r="P51" s="13">
        <v>9.0909090909090912E-2</v>
      </c>
      <c r="Q51" s="8">
        <v>4</v>
      </c>
      <c r="R51" s="19">
        <v>0.5</v>
      </c>
      <c r="S51" s="19">
        <v>0.5</v>
      </c>
      <c r="T51" s="13">
        <v>0.25</v>
      </c>
      <c r="U51" s="8">
        <v>3</v>
      </c>
      <c r="V51" s="19">
        <v>0.5</v>
      </c>
      <c r="W51" s="19">
        <v>0.5</v>
      </c>
      <c r="X51" s="13">
        <v>0.33333333333333331</v>
      </c>
      <c r="Y51" s="8">
        <v>3</v>
      </c>
      <c r="Z51" s="19">
        <v>0.5</v>
      </c>
      <c r="AA51" s="19">
        <v>0.5</v>
      </c>
      <c r="AB51" s="13">
        <v>0.33333333333333331</v>
      </c>
    </row>
    <row r="52" spans="1:28" ht="25.5" x14ac:dyDescent="0.25">
      <c r="A52" s="17" t="s">
        <v>410</v>
      </c>
      <c r="B52" s="8" t="s">
        <v>18</v>
      </c>
      <c r="C52" s="12" t="s">
        <v>411</v>
      </c>
      <c r="D52" s="8">
        <v>3</v>
      </c>
      <c r="E52" s="8">
        <v>1</v>
      </c>
      <c r="F52" s="19">
        <v>0.33333333333333331</v>
      </c>
      <c r="G52" s="19">
        <v>0.33333333333333331</v>
      </c>
      <c r="H52" s="13">
        <v>1</v>
      </c>
      <c r="I52" s="8">
        <v>1</v>
      </c>
      <c r="J52" s="19">
        <v>1</v>
      </c>
      <c r="K52" s="19">
        <v>1</v>
      </c>
      <c r="L52" s="13">
        <v>1</v>
      </c>
      <c r="M52" s="8">
        <v>1</v>
      </c>
      <c r="N52" s="19">
        <v>0.33333333333333331</v>
      </c>
      <c r="O52" s="19">
        <v>0.33333333333333331</v>
      </c>
      <c r="P52" s="13">
        <v>1</v>
      </c>
      <c r="Q52" s="8">
        <v>1</v>
      </c>
      <c r="R52" s="19">
        <v>0.33333333333333331</v>
      </c>
      <c r="S52" s="19">
        <v>0.33333333333333331</v>
      </c>
      <c r="T52" s="13">
        <v>1</v>
      </c>
      <c r="U52" s="8">
        <v>1</v>
      </c>
      <c r="V52" s="19">
        <v>1</v>
      </c>
      <c r="W52" s="19">
        <v>1</v>
      </c>
      <c r="X52" s="13">
        <v>1</v>
      </c>
      <c r="Y52" s="8">
        <v>1</v>
      </c>
      <c r="Z52" s="19">
        <v>1</v>
      </c>
      <c r="AA52" s="19">
        <v>1</v>
      </c>
      <c r="AB52" s="13">
        <v>1</v>
      </c>
    </row>
    <row r="53" spans="1:28" ht="38.25" x14ac:dyDescent="0.25">
      <c r="A53" s="17" t="s">
        <v>417</v>
      </c>
      <c r="B53" s="8" t="s">
        <v>18</v>
      </c>
      <c r="C53" s="12" t="s">
        <v>418</v>
      </c>
      <c r="D53" s="8">
        <v>2</v>
      </c>
      <c r="E53" s="8">
        <v>8</v>
      </c>
      <c r="F53" s="19">
        <v>0</v>
      </c>
      <c r="G53" s="19">
        <v>0.5</v>
      </c>
      <c r="H53" s="13">
        <v>0.125</v>
      </c>
      <c r="I53" s="8">
        <v>1</v>
      </c>
      <c r="J53" s="19">
        <v>0.5</v>
      </c>
      <c r="K53" s="19">
        <v>0.5</v>
      </c>
      <c r="L53" s="13">
        <v>1</v>
      </c>
      <c r="M53" s="8">
        <v>7</v>
      </c>
      <c r="N53" s="19">
        <v>0</v>
      </c>
      <c r="O53" s="19">
        <v>0.5</v>
      </c>
      <c r="P53" s="13">
        <v>0.14285714285714279</v>
      </c>
      <c r="Q53" s="8">
        <v>3</v>
      </c>
      <c r="R53" s="19">
        <v>0.5</v>
      </c>
      <c r="S53" s="19">
        <v>0.5</v>
      </c>
      <c r="T53" s="13">
        <v>0.33333333333333331</v>
      </c>
      <c r="U53" s="8">
        <v>3</v>
      </c>
      <c r="V53" s="19">
        <v>1</v>
      </c>
      <c r="W53" s="19">
        <v>1</v>
      </c>
      <c r="X53" s="13">
        <v>0.33333333333333331</v>
      </c>
      <c r="Y53" s="8">
        <v>3</v>
      </c>
      <c r="Z53" s="19">
        <v>1</v>
      </c>
      <c r="AA53" s="19">
        <v>1</v>
      </c>
      <c r="AB53" s="13">
        <v>0.33333333333333331</v>
      </c>
    </row>
    <row r="54" spans="1:28" ht="38.25" x14ac:dyDescent="0.25">
      <c r="A54" s="17" t="s">
        <v>424</v>
      </c>
      <c r="B54" s="8" t="s">
        <v>18</v>
      </c>
      <c r="C54" s="12" t="s">
        <v>425</v>
      </c>
      <c r="D54" s="8">
        <v>2</v>
      </c>
      <c r="E54" s="8">
        <v>5</v>
      </c>
      <c r="F54" s="19">
        <v>0.5</v>
      </c>
      <c r="G54" s="19">
        <v>1</v>
      </c>
      <c r="H54" s="13">
        <v>0.2</v>
      </c>
      <c r="I54" s="8">
        <v>1</v>
      </c>
      <c r="J54" s="19">
        <v>1</v>
      </c>
      <c r="K54" s="19">
        <v>1</v>
      </c>
      <c r="L54" s="13">
        <v>1</v>
      </c>
      <c r="M54" s="8">
        <v>2</v>
      </c>
      <c r="N54" s="19">
        <v>0.5</v>
      </c>
      <c r="O54" s="19">
        <v>0.5</v>
      </c>
      <c r="P54" s="13">
        <v>0.5</v>
      </c>
      <c r="Q54" s="8">
        <v>2</v>
      </c>
      <c r="R54" s="19">
        <v>0.5</v>
      </c>
      <c r="S54" s="19">
        <v>1</v>
      </c>
      <c r="T54" s="13">
        <v>0.5</v>
      </c>
      <c r="U54" s="8">
        <v>1</v>
      </c>
      <c r="V54" s="19">
        <v>1</v>
      </c>
      <c r="W54" s="19">
        <v>1</v>
      </c>
      <c r="X54" s="13">
        <v>1</v>
      </c>
      <c r="Y54" s="8">
        <v>1</v>
      </c>
      <c r="Z54" s="19">
        <v>1</v>
      </c>
      <c r="AA54" s="19">
        <v>1</v>
      </c>
      <c r="AB54" s="13">
        <v>1</v>
      </c>
    </row>
    <row r="55" spans="1:28" ht="25.5" x14ac:dyDescent="0.25">
      <c r="A55" s="17" t="s">
        <v>432</v>
      </c>
      <c r="B55" s="8" t="s">
        <v>19</v>
      </c>
      <c r="C55" s="12" t="s">
        <v>433</v>
      </c>
      <c r="D55" s="8">
        <v>1</v>
      </c>
      <c r="E55" s="8" t="s">
        <v>664</v>
      </c>
      <c r="F55" s="19">
        <v>0</v>
      </c>
      <c r="G55" s="19">
        <v>0</v>
      </c>
      <c r="H55" s="13">
        <v>0</v>
      </c>
      <c r="I55" s="8" t="s">
        <v>664</v>
      </c>
      <c r="J55" s="19">
        <v>0</v>
      </c>
      <c r="K55" s="19">
        <v>0</v>
      </c>
      <c r="L55" s="13">
        <v>0</v>
      </c>
      <c r="M55" s="8">
        <v>4</v>
      </c>
      <c r="N55" s="19">
        <v>1</v>
      </c>
      <c r="O55" s="19">
        <v>1</v>
      </c>
      <c r="P55" s="13">
        <v>0.25</v>
      </c>
      <c r="Q55" s="8">
        <v>1</v>
      </c>
      <c r="R55" s="19">
        <v>1</v>
      </c>
      <c r="S55" s="19">
        <v>1</v>
      </c>
      <c r="T55" s="13">
        <v>1</v>
      </c>
      <c r="U55" s="8">
        <v>2</v>
      </c>
      <c r="V55" s="19">
        <v>1</v>
      </c>
      <c r="W55" s="19">
        <v>1</v>
      </c>
      <c r="X55" s="13">
        <v>0.5</v>
      </c>
      <c r="Y55" s="8">
        <v>2</v>
      </c>
      <c r="Z55" s="19">
        <v>1</v>
      </c>
      <c r="AA55" s="19">
        <v>1</v>
      </c>
      <c r="AB55" s="13">
        <v>0.5</v>
      </c>
    </row>
    <row r="56" spans="1:28" ht="25.5" x14ac:dyDescent="0.25">
      <c r="A56" s="17" t="s">
        <v>438</v>
      </c>
      <c r="B56" s="8" t="s">
        <v>19</v>
      </c>
      <c r="C56" s="12" t="s">
        <v>439</v>
      </c>
      <c r="D56" s="8">
        <v>1</v>
      </c>
      <c r="E56" s="8" t="s">
        <v>664</v>
      </c>
      <c r="F56" s="19">
        <v>0</v>
      </c>
      <c r="G56" s="19">
        <v>0</v>
      </c>
      <c r="H56" s="13">
        <v>0</v>
      </c>
      <c r="I56" s="8" t="s">
        <v>664</v>
      </c>
      <c r="J56" s="19">
        <v>0</v>
      </c>
      <c r="K56" s="19">
        <v>0</v>
      </c>
      <c r="L56" s="13">
        <v>0</v>
      </c>
      <c r="M56" s="8">
        <v>1</v>
      </c>
      <c r="N56" s="19">
        <v>1</v>
      </c>
      <c r="O56" s="19">
        <v>1</v>
      </c>
      <c r="P56" s="13">
        <v>1</v>
      </c>
      <c r="Q56" s="8">
        <v>12</v>
      </c>
      <c r="R56" s="19">
        <v>0</v>
      </c>
      <c r="S56" s="19">
        <v>0</v>
      </c>
      <c r="T56" s="13">
        <v>8.3333333333333329E-2</v>
      </c>
      <c r="U56" s="8">
        <v>2</v>
      </c>
      <c r="V56" s="19">
        <v>1</v>
      </c>
      <c r="W56" s="19">
        <v>1</v>
      </c>
      <c r="X56" s="13">
        <v>0.5</v>
      </c>
      <c r="Y56" s="8">
        <v>2</v>
      </c>
      <c r="Z56" s="19">
        <v>1</v>
      </c>
      <c r="AA56" s="19">
        <v>1</v>
      </c>
      <c r="AB56" s="13">
        <v>0.5</v>
      </c>
    </row>
    <row r="57" spans="1:28" ht="25.5" x14ac:dyDescent="0.25">
      <c r="A57" s="17" t="s">
        <v>445</v>
      </c>
      <c r="B57" s="8" t="s">
        <v>19</v>
      </c>
      <c r="C57" s="12" t="s">
        <v>446</v>
      </c>
      <c r="D57" s="8">
        <v>1</v>
      </c>
      <c r="E57" s="8">
        <v>5</v>
      </c>
      <c r="F57" s="19">
        <v>1</v>
      </c>
      <c r="G57" s="19">
        <v>1</v>
      </c>
      <c r="H57" s="13">
        <v>0.2</v>
      </c>
      <c r="I57" s="8">
        <v>1</v>
      </c>
      <c r="J57" s="19">
        <v>1</v>
      </c>
      <c r="K57" s="19">
        <v>1</v>
      </c>
      <c r="L57" s="13">
        <v>1</v>
      </c>
      <c r="M57" s="8">
        <v>8</v>
      </c>
      <c r="N57" s="19">
        <v>0</v>
      </c>
      <c r="O57" s="19">
        <v>1</v>
      </c>
      <c r="P57" s="13">
        <v>0.125</v>
      </c>
      <c r="Q57" s="8">
        <v>21</v>
      </c>
      <c r="R57" s="19">
        <v>0</v>
      </c>
      <c r="S57" s="19">
        <v>0</v>
      </c>
      <c r="T57" s="13">
        <v>4.7619047619047623E-2</v>
      </c>
      <c r="U57" s="8">
        <v>1</v>
      </c>
      <c r="V57" s="19">
        <v>1</v>
      </c>
      <c r="W57" s="19">
        <v>1</v>
      </c>
      <c r="X57" s="13">
        <v>1</v>
      </c>
      <c r="Y57" s="8">
        <v>1</v>
      </c>
      <c r="Z57" s="19">
        <v>1</v>
      </c>
      <c r="AA57" s="19">
        <v>1</v>
      </c>
      <c r="AB57" s="13">
        <v>1</v>
      </c>
    </row>
    <row r="58" spans="1:28" ht="38.25" x14ac:dyDescent="0.25">
      <c r="A58" s="17" t="s">
        <v>450</v>
      </c>
      <c r="B58" s="8" t="s">
        <v>19</v>
      </c>
      <c r="C58" s="12" t="s">
        <v>451</v>
      </c>
      <c r="D58" s="8">
        <v>1</v>
      </c>
      <c r="E58" s="8">
        <v>12</v>
      </c>
      <c r="F58" s="19">
        <v>0</v>
      </c>
      <c r="G58" s="19">
        <v>0</v>
      </c>
      <c r="H58" s="13">
        <v>8.3333333333333329E-2</v>
      </c>
      <c r="I58" s="8">
        <v>1</v>
      </c>
      <c r="J58" s="19">
        <v>1</v>
      </c>
      <c r="K58" s="19">
        <v>1</v>
      </c>
      <c r="L58" s="13">
        <v>1</v>
      </c>
      <c r="M58" s="8">
        <v>4</v>
      </c>
      <c r="N58" s="19">
        <v>1</v>
      </c>
      <c r="O58" s="19">
        <v>1</v>
      </c>
      <c r="P58" s="13">
        <v>0.25</v>
      </c>
      <c r="Q58" s="8">
        <v>2</v>
      </c>
      <c r="R58" s="19">
        <v>1</v>
      </c>
      <c r="S58" s="19">
        <v>1</v>
      </c>
      <c r="T58" s="13">
        <v>0.5</v>
      </c>
      <c r="U58" s="8">
        <v>1</v>
      </c>
      <c r="V58" s="19">
        <v>1</v>
      </c>
      <c r="W58" s="19">
        <v>1</v>
      </c>
      <c r="X58" s="13">
        <v>1</v>
      </c>
      <c r="Y58" s="8">
        <v>1</v>
      </c>
      <c r="Z58" s="19">
        <v>1</v>
      </c>
      <c r="AA58" s="19">
        <v>1</v>
      </c>
      <c r="AB58" s="13">
        <v>1</v>
      </c>
    </row>
    <row r="59" spans="1:28" ht="25.5" x14ac:dyDescent="0.25">
      <c r="A59" s="17" t="s">
        <v>455</v>
      </c>
      <c r="B59" s="8" t="s">
        <v>19</v>
      </c>
      <c r="C59" s="12" t="s">
        <v>456</v>
      </c>
      <c r="D59" s="8">
        <v>1</v>
      </c>
      <c r="E59" s="8">
        <v>1</v>
      </c>
      <c r="F59" s="19">
        <v>1</v>
      </c>
      <c r="G59" s="19">
        <v>1</v>
      </c>
      <c r="H59" s="13">
        <v>1</v>
      </c>
      <c r="I59" s="8">
        <v>1</v>
      </c>
      <c r="J59" s="19">
        <v>1</v>
      </c>
      <c r="K59" s="19">
        <v>1</v>
      </c>
      <c r="L59" s="13">
        <v>1</v>
      </c>
      <c r="M59" s="8">
        <v>8</v>
      </c>
      <c r="N59" s="19">
        <v>0</v>
      </c>
      <c r="O59" s="19">
        <v>1</v>
      </c>
      <c r="P59" s="13">
        <v>0.125</v>
      </c>
      <c r="Q59" s="8">
        <v>1</v>
      </c>
      <c r="R59" s="19">
        <v>1</v>
      </c>
      <c r="S59" s="19">
        <v>1</v>
      </c>
      <c r="T59" s="13">
        <v>1</v>
      </c>
      <c r="U59" s="8">
        <v>1</v>
      </c>
      <c r="V59" s="19">
        <v>1</v>
      </c>
      <c r="W59" s="19">
        <v>1</v>
      </c>
      <c r="X59" s="13">
        <v>1</v>
      </c>
      <c r="Y59" s="8">
        <v>1</v>
      </c>
      <c r="Z59" s="19">
        <v>1</v>
      </c>
      <c r="AA59" s="19">
        <v>1</v>
      </c>
      <c r="AB59" s="13">
        <v>1</v>
      </c>
    </row>
    <row r="60" spans="1:28" ht="25.5" x14ac:dyDescent="0.25">
      <c r="A60" s="17" t="s">
        <v>461</v>
      </c>
      <c r="B60" s="8" t="s">
        <v>19</v>
      </c>
      <c r="C60" s="12" t="s">
        <v>462</v>
      </c>
      <c r="D60" s="8">
        <v>2</v>
      </c>
      <c r="E60" s="8" t="s">
        <v>664</v>
      </c>
      <c r="F60" s="19">
        <v>0</v>
      </c>
      <c r="G60" s="19">
        <v>0</v>
      </c>
      <c r="H60" s="13">
        <v>0</v>
      </c>
      <c r="I60" s="8" t="s">
        <v>664</v>
      </c>
      <c r="J60" s="19">
        <v>0</v>
      </c>
      <c r="K60" s="19">
        <v>0</v>
      </c>
      <c r="L60" s="13">
        <v>0</v>
      </c>
      <c r="M60" s="8" t="s">
        <v>664</v>
      </c>
      <c r="N60" s="19">
        <v>0</v>
      </c>
      <c r="O60" s="19">
        <v>0</v>
      </c>
      <c r="P60" s="13">
        <v>0</v>
      </c>
      <c r="Q60" s="8">
        <v>18</v>
      </c>
      <c r="R60" s="19">
        <v>0</v>
      </c>
      <c r="S60" s="19">
        <v>0</v>
      </c>
      <c r="T60" s="13">
        <v>5.5555555555555552E-2</v>
      </c>
      <c r="U60" s="8">
        <v>5</v>
      </c>
      <c r="V60" s="19">
        <v>1</v>
      </c>
      <c r="W60" s="19">
        <v>1</v>
      </c>
      <c r="X60" s="13">
        <v>0.2</v>
      </c>
      <c r="Y60" s="8">
        <v>5</v>
      </c>
      <c r="Z60" s="19">
        <v>1</v>
      </c>
      <c r="AA60" s="19">
        <v>1</v>
      </c>
      <c r="AB60" s="13">
        <v>0.2</v>
      </c>
    </row>
    <row r="61" spans="1:28" ht="25.5" x14ac:dyDescent="0.25">
      <c r="A61" s="17" t="s">
        <v>466</v>
      </c>
      <c r="B61" s="8" t="s">
        <v>19</v>
      </c>
      <c r="C61" s="12" t="s">
        <v>467</v>
      </c>
      <c r="D61" s="8">
        <v>1</v>
      </c>
      <c r="E61" s="8" t="s">
        <v>664</v>
      </c>
      <c r="F61" s="19">
        <v>0</v>
      </c>
      <c r="G61" s="19">
        <v>0</v>
      </c>
      <c r="H61" s="13">
        <v>0</v>
      </c>
      <c r="I61" s="8" t="s">
        <v>664</v>
      </c>
      <c r="J61" s="19">
        <v>0</v>
      </c>
      <c r="K61" s="19">
        <v>0</v>
      </c>
      <c r="L61" s="13">
        <v>0</v>
      </c>
      <c r="M61" s="8">
        <v>1</v>
      </c>
      <c r="N61" s="19">
        <v>1</v>
      </c>
      <c r="O61" s="19">
        <v>1</v>
      </c>
      <c r="P61" s="13">
        <v>1</v>
      </c>
      <c r="Q61" s="8">
        <v>1</v>
      </c>
      <c r="R61" s="19">
        <v>1</v>
      </c>
      <c r="S61" s="19">
        <v>1</v>
      </c>
      <c r="T61" s="13">
        <v>1</v>
      </c>
      <c r="U61" s="8">
        <v>2</v>
      </c>
      <c r="V61" s="19">
        <v>1</v>
      </c>
      <c r="W61" s="19">
        <v>1</v>
      </c>
      <c r="X61" s="13">
        <v>0.5</v>
      </c>
      <c r="Y61" s="8">
        <v>2</v>
      </c>
      <c r="Z61" s="19">
        <v>1</v>
      </c>
      <c r="AA61" s="19">
        <v>1</v>
      </c>
      <c r="AB61" s="13">
        <v>0.5</v>
      </c>
    </row>
    <row r="62" spans="1:28" ht="25.5" x14ac:dyDescent="0.25">
      <c r="A62" s="17" t="s">
        <v>472</v>
      </c>
      <c r="B62" s="8" t="s">
        <v>19</v>
      </c>
      <c r="C62" s="12" t="s">
        <v>473</v>
      </c>
      <c r="D62" s="8">
        <v>1</v>
      </c>
      <c r="E62" s="8">
        <v>23</v>
      </c>
      <c r="F62" s="19">
        <v>0</v>
      </c>
      <c r="G62" s="19">
        <v>0</v>
      </c>
      <c r="H62" s="13">
        <v>4.3478260869565223E-2</v>
      </c>
      <c r="I62" s="8">
        <v>24</v>
      </c>
      <c r="J62" s="19">
        <v>0</v>
      </c>
      <c r="K62" s="19">
        <v>0</v>
      </c>
      <c r="L62" s="13">
        <v>4.1666666666666657E-2</v>
      </c>
      <c r="M62" s="8">
        <v>12</v>
      </c>
      <c r="N62" s="19">
        <v>0</v>
      </c>
      <c r="O62" s="19">
        <v>0</v>
      </c>
      <c r="P62" s="13">
        <v>8.3333333333333329E-2</v>
      </c>
      <c r="Q62" s="8">
        <v>5</v>
      </c>
      <c r="R62" s="19">
        <v>1</v>
      </c>
      <c r="S62" s="19">
        <v>1</v>
      </c>
      <c r="T62" s="13">
        <v>0.2</v>
      </c>
      <c r="U62" s="8">
        <v>9</v>
      </c>
      <c r="V62" s="19">
        <v>0</v>
      </c>
      <c r="W62" s="19">
        <v>1</v>
      </c>
      <c r="X62" s="13">
        <v>0.1111111111111111</v>
      </c>
      <c r="Y62" s="8">
        <v>10</v>
      </c>
      <c r="Z62" s="19">
        <v>0</v>
      </c>
      <c r="AA62" s="19">
        <v>1</v>
      </c>
      <c r="AB62" s="13">
        <v>0.1</v>
      </c>
    </row>
    <row r="63" spans="1:28" ht="25.5" x14ac:dyDescent="0.25">
      <c r="A63" s="17" t="s">
        <v>477</v>
      </c>
      <c r="B63" s="8" t="s">
        <v>19</v>
      </c>
      <c r="C63" s="12" t="s">
        <v>478</v>
      </c>
      <c r="D63" s="8">
        <v>2</v>
      </c>
      <c r="E63" s="8">
        <v>14</v>
      </c>
      <c r="F63" s="19">
        <v>0</v>
      </c>
      <c r="G63" s="19">
        <v>0</v>
      </c>
      <c r="H63" s="13">
        <v>7.1428571428571425E-2</v>
      </c>
      <c r="I63" s="8">
        <v>1</v>
      </c>
      <c r="J63" s="19">
        <v>1</v>
      </c>
      <c r="K63" s="19">
        <v>1</v>
      </c>
      <c r="L63" s="13">
        <v>1</v>
      </c>
      <c r="M63" s="8">
        <v>13</v>
      </c>
      <c r="N63" s="19">
        <v>0</v>
      </c>
      <c r="O63" s="19">
        <v>0</v>
      </c>
      <c r="P63" s="13">
        <v>7.6923076923076927E-2</v>
      </c>
      <c r="Q63" s="8">
        <v>29</v>
      </c>
      <c r="R63" s="19">
        <v>0</v>
      </c>
      <c r="S63" s="19">
        <v>0</v>
      </c>
      <c r="T63" s="13">
        <v>3.4482758620689648E-2</v>
      </c>
      <c r="U63" s="8">
        <v>8</v>
      </c>
      <c r="V63" s="19">
        <v>0</v>
      </c>
      <c r="W63" s="19">
        <v>1</v>
      </c>
      <c r="X63" s="13">
        <v>0.125</v>
      </c>
      <c r="Y63" s="8">
        <v>9</v>
      </c>
      <c r="Z63" s="19">
        <v>0</v>
      </c>
      <c r="AA63" s="19">
        <v>1</v>
      </c>
      <c r="AB63" s="13">
        <v>0.1111111111111111</v>
      </c>
    </row>
    <row r="64" spans="1:28" x14ac:dyDescent="0.25">
      <c r="A64" s="17" t="s">
        <v>482</v>
      </c>
      <c r="B64" s="8" t="s">
        <v>19</v>
      </c>
      <c r="C64" s="12" t="s">
        <v>483</v>
      </c>
      <c r="D64" s="8">
        <v>1</v>
      </c>
      <c r="E64" s="8" t="s">
        <v>664</v>
      </c>
      <c r="F64" s="19">
        <v>0</v>
      </c>
      <c r="G64" s="19">
        <v>0</v>
      </c>
      <c r="H64" s="13">
        <v>0</v>
      </c>
      <c r="I64" s="8" t="s">
        <v>664</v>
      </c>
      <c r="J64" s="19">
        <v>0</v>
      </c>
      <c r="K64" s="19">
        <v>0</v>
      </c>
      <c r="L64" s="13">
        <v>0</v>
      </c>
      <c r="M64" s="8">
        <v>1</v>
      </c>
      <c r="N64" s="19">
        <v>1</v>
      </c>
      <c r="O64" s="19">
        <v>1</v>
      </c>
      <c r="P64" s="13">
        <v>1</v>
      </c>
      <c r="Q64" s="8">
        <v>1</v>
      </c>
      <c r="R64" s="19">
        <v>1</v>
      </c>
      <c r="S64" s="19">
        <v>1</v>
      </c>
      <c r="T64" s="13">
        <v>1</v>
      </c>
      <c r="U64" s="8">
        <v>1</v>
      </c>
      <c r="V64" s="19">
        <v>1</v>
      </c>
      <c r="W64" s="19">
        <v>1</v>
      </c>
      <c r="X64" s="13">
        <v>1</v>
      </c>
      <c r="Y64" s="8">
        <v>1</v>
      </c>
      <c r="Z64" s="19">
        <v>1</v>
      </c>
      <c r="AA64" s="19">
        <v>1</v>
      </c>
      <c r="AB64" s="13">
        <v>1</v>
      </c>
    </row>
    <row r="65" spans="1:28" ht="25.5" x14ac:dyDescent="0.25">
      <c r="A65" s="17" t="s">
        <v>489</v>
      </c>
      <c r="B65" s="8" t="s">
        <v>20</v>
      </c>
      <c r="C65" s="12" t="s">
        <v>490</v>
      </c>
      <c r="D65" s="8">
        <v>3</v>
      </c>
      <c r="E65" s="8" t="s">
        <v>664</v>
      </c>
      <c r="F65" s="19">
        <v>0</v>
      </c>
      <c r="G65" s="19">
        <v>0</v>
      </c>
      <c r="H65" s="13">
        <v>0</v>
      </c>
      <c r="I65" s="8" t="s">
        <v>664</v>
      </c>
      <c r="J65" s="19">
        <v>0</v>
      </c>
      <c r="K65" s="19">
        <v>0</v>
      </c>
      <c r="L65" s="13">
        <v>0</v>
      </c>
      <c r="M65" s="8" t="s">
        <v>664</v>
      </c>
      <c r="N65" s="19">
        <v>0</v>
      </c>
      <c r="O65" s="19">
        <v>0</v>
      </c>
      <c r="P65" s="13">
        <v>0</v>
      </c>
      <c r="Q65" s="8" t="s">
        <v>664</v>
      </c>
      <c r="R65" s="19">
        <v>0</v>
      </c>
      <c r="S65" s="19">
        <v>0</v>
      </c>
      <c r="T65" s="13">
        <v>0</v>
      </c>
      <c r="U65" s="8" t="s">
        <v>664</v>
      </c>
      <c r="V65" s="19">
        <v>0</v>
      </c>
      <c r="W65" s="19">
        <v>0</v>
      </c>
      <c r="X65" s="13">
        <v>0</v>
      </c>
      <c r="Y65" s="8" t="s">
        <v>664</v>
      </c>
      <c r="Z65" s="19">
        <v>0</v>
      </c>
      <c r="AA65" s="19">
        <v>0</v>
      </c>
      <c r="AB65" s="13">
        <v>0</v>
      </c>
    </row>
    <row r="66" spans="1:28" x14ac:dyDescent="0.25">
      <c r="A66" s="17" t="s">
        <v>496</v>
      </c>
      <c r="B66" s="8" t="s">
        <v>20</v>
      </c>
      <c r="C66" s="12" t="s">
        <v>497</v>
      </c>
      <c r="D66" s="8">
        <v>3</v>
      </c>
      <c r="E66" s="8">
        <v>25</v>
      </c>
      <c r="F66" s="19">
        <v>0</v>
      </c>
      <c r="G66" s="19">
        <v>0</v>
      </c>
      <c r="H66" s="13">
        <v>0.04</v>
      </c>
      <c r="I66" s="8">
        <v>12</v>
      </c>
      <c r="J66" s="19">
        <v>0</v>
      </c>
      <c r="K66" s="19">
        <v>0</v>
      </c>
      <c r="L66" s="13">
        <v>8.3333333333333329E-2</v>
      </c>
      <c r="M66" s="8">
        <v>10</v>
      </c>
      <c r="N66" s="19">
        <v>0</v>
      </c>
      <c r="O66" s="19">
        <v>0.33333333333333331</v>
      </c>
      <c r="P66" s="13">
        <v>0.1</v>
      </c>
      <c r="Q66" s="8">
        <v>10</v>
      </c>
      <c r="R66" s="19">
        <v>0</v>
      </c>
      <c r="S66" s="19">
        <v>0.33333333333333331</v>
      </c>
      <c r="T66" s="13">
        <v>0.1</v>
      </c>
      <c r="U66" s="8">
        <v>5</v>
      </c>
      <c r="V66" s="19">
        <v>0.33333333333333331</v>
      </c>
      <c r="W66" s="19">
        <v>0.33333333333333331</v>
      </c>
      <c r="X66" s="13">
        <v>0.2</v>
      </c>
      <c r="Y66" s="8">
        <v>6</v>
      </c>
      <c r="Z66" s="19">
        <v>0</v>
      </c>
      <c r="AA66" s="19">
        <v>0.33333333333333331</v>
      </c>
      <c r="AB66" s="13">
        <v>0.16666666666666671</v>
      </c>
    </row>
    <row r="67" spans="1:28" x14ac:dyDescent="0.25">
      <c r="A67" s="17" t="s">
        <v>501</v>
      </c>
      <c r="B67" s="8" t="s">
        <v>20</v>
      </c>
      <c r="C67" s="12" t="s">
        <v>502</v>
      </c>
      <c r="D67" s="8">
        <v>3</v>
      </c>
      <c r="E67" s="8" t="s">
        <v>664</v>
      </c>
      <c r="F67" s="19">
        <v>0</v>
      </c>
      <c r="G67" s="19">
        <v>0</v>
      </c>
      <c r="H67" s="13">
        <v>0</v>
      </c>
      <c r="I67" s="8" t="s">
        <v>664</v>
      </c>
      <c r="J67" s="19">
        <v>0</v>
      </c>
      <c r="K67" s="19">
        <v>0</v>
      </c>
      <c r="L67" s="13">
        <v>0</v>
      </c>
      <c r="M67" s="8" t="s">
        <v>664</v>
      </c>
      <c r="N67" s="19">
        <v>0</v>
      </c>
      <c r="O67" s="19">
        <v>0</v>
      </c>
      <c r="P67" s="13">
        <v>0</v>
      </c>
      <c r="Q67" s="8" t="s">
        <v>664</v>
      </c>
      <c r="R67" s="19">
        <v>0</v>
      </c>
      <c r="S67" s="19">
        <v>0</v>
      </c>
      <c r="T67" s="13">
        <v>0</v>
      </c>
      <c r="U67" s="8" t="s">
        <v>664</v>
      </c>
      <c r="V67" s="19">
        <v>0</v>
      </c>
      <c r="W67" s="19">
        <v>0</v>
      </c>
      <c r="X67" s="13">
        <v>0</v>
      </c>
      <c r="Y67" s="8" t="s">
        <v>664</v>
      </c>
      <c r="Z67" s="19">
        <v>0</v>
      </c>
      <c r="AA67" s="19">
        <v>0</v>
      </c>
      <c r="AB67" s="13">
        <v>0</v>
      </c>
    </row>
    <row r="68" spans="1:28" x14ac:dyDescent="0.25">
      <c r="A68" s="17" t="s">
        <v>508</v>
      </c>
      <c r="B68" s="8" t="s">
        <v>20</v>
      </c>
      <c r="C68" s="12" t="s">
        <v>509</v>
      </c>
      <c r="D68" s="8">
        <v>2</v>
      </c>
      <c r="E68" s="8">
        <v>2</v>
      </c>
      <c r="F68" s="19">
        <v>0.5</v>
      </c>
      <c r="G68" s="19">
        <v>0.5</v>
      </c>
      <c r="H68" s="13">
        <v>0.5</v>
      </c>
      <c r="I68" s="8">
        <v>4</v>
      </c>
      <c r="J68" s="19">
        <v>0.5</v>
      </c>
      <c r="K68" s="19">
        <v>0.5</v>
      </c>
      <c r="L68" s="13">
        <v>0.25</v>
      </c>
      <c r="M68" s="8">
        <v>14</v>
      </c>
      <c r="N68" s="19">
        <v>0</v>
      </c>
      <c r="O68" s="19">
        <v>0</v>
      </c>
      <c r="P68" s="13">
        <v>7.1428571428571425E-2</v>
      </c>
      <c r="Q68" s="8">
        <v>7</v>
      </c>
      <c r="R68" s="19">
        <v>0</v>
      </c>
      <c r="S68" s="19">
        <v>0.5</v>
      </c>
      <c r="T68" s="13">
        <v>0.14285714285714279</v>
      </c>
      <c r="U68" s="8">
        <v>3</v>
      </c>
      <c r="V68" s="19">
        <v>0.5</v>
      </c>
      <c r="W68" s="19">
        <v>0.5</v>
      </c>
      <c r="X68" s="13">
        <v>0.33333333333333331</v>
      </c>
      <c r="Y68" s="8">
        <v>3</v>
      </c>
      <c r="Z68" s="19">
        <v>0.5</v>
      </c>
      <c r="AA68" s="19">
        <v>0.5</v>
      </c>
      <c r="AB68" s="13">
        <v>0.33333333333333331</v>
      </c>
    </row>
    <row r="69" spans="1:28" x14ac:dyDescent="0.25">
      <c r="A69" s="17" t="s">
        <v>515</v>
      </c>
      <c r="B69" s="8" t="s">
        <v>20</v>
      </c>
      <c r="C69" s="12" t="s">
        <v>516</v>
      </c>
      <c r="D69" s="8">
        <v>3</v>
      </c>
      <c r="E69" s="8" t="s">
        <v>664</v>
      </c>
      <c r="F69" s="19">
        <v>0</v>
      </c>
      <c r="G69" s="19">
        <v>0</v>
      </c>
      <c r="H69" s="13">
        <v>0</v>
      </c>
      <c r="I69" s="8" t="s">
        <v>664</v>
      </c>
      <c r="J69" s="19">
        <v>0</v>
      </c>
      <c r="K69" s="19">
        <v>0</v>
      </c>
      <c r="L69" s="13">
        <v>0</v>
      </c>
      <c r="M69" s="8" t="s">
        <v>664</v>
      </c>
      <c r="N69" s="19">
        <v>0</v>
      </c>
      <c r="O69" s="19">
        <v>0</v>
      </c>
      <c r="P69" s="13">
        <v>0</v>
      </c>
      <c r="Q69" s="8" t="s">
        <v>664</v>
      </c>
      <c r="R69" s="19">
        <v>0</v>
      </c>
      <c r="S69" s="19">
        <v>0</v>
      </c>
      <c r="T69" s="13">
        <v>0</v>
      </c>
      <c r="U69" s="8" t="s">
        <v>664</v>
      </c>
      <c r="V69" s="19">
        <v>0</v>
      </c>
      <c r="W69" s="19">
        <v>0</v>
      </c>
      <c r="X69" s="13">
        <v>0</v>
      </c>
      <c r="Y69" s="8" t="s">
        <v>664</v>
      </c>
      <c r="Z69" s="19">
        <v>0</v>
      </c>
      <c r="AA69" s="19">
        <v>0</v>
      </c>
      <c r="AB69" s="13">
        <v>0</v>
      </c>
    </row>
    <row r="70" spans="1:28" x14ac:dyDescent="0.25">
      <c r="A70" s="17" t="s">
        <v>522</v>
      </c>
      <c r="B70" s="8" t="s">
        <v>20</v>
      </c>
      <c r="C70" s="12" t="s">
        <v>523</v>
      </c>
      <c r="D70" s="8">
        <v>3</v>
      </c>
      <c r="E70" s="8" t="s">
        <v>664</v>
      </c>
      <c r="F70" s="19">
        <v>0</v>
      </c>
      <c r="G70" s="19">
        <v>0</v>
      </c>
      <c r="H70" s="13">
        <v>0</v>
      </c>
      <c r="I70" s="8" t="s">
        <v>664</v>
      </c>
      <c r="J70" s="19">
        <v>0</v>
      </c>
      <c r="K70" s="19">
        <v>0</v>
      </c>
      <c r="L70" s="13">
        <v>0</v>
      </c>
      <c r="M70" s="8" t="s">
        <v>664</v>
      </c>
      <c r="N70" s="19">
        <v>0</v>
      </c>
      <c r="O70" s="19">
        <v>0</v>
      </c>
      <c r="P70" s="13">
        <v>0</v>
      </c>
      <c r="Q70" s="8" t="s">
        <v>664</v>
      </c>
      <c r="R70" s="19">
        <v>0</v>
      </c>
      <c r="S70" s="19">
        <v>0</v>
      </c>
      <c r="T70" s="13">
        <v>0</v>
      </c>
      <c r="U70" s="8" t="s">
        <v>664</v>
      </c>
      <c r="V70" s="19">
        <v>0</v>
      </c>
      <c r="W70" s="19">
        <v>0</v>
      </c>
      <c r="X70" s="13">
        <v>0</v>
      </c>
      <c r="Y70" s="8" t="s">
        <v>664</v>
      </c>
      <c r="Z70" s="19">
        <v>0</v>
      </c>
      <c r="AA70" s="19">
        <v>0</v>
      </c>
      <c r="AB70" s="13">
        <v>0</v>
      </c>
    </row>
    <row r="71" spans="1:28" ht="25.5" x14ac:dyDescent="0.25">
      <c r="A71" s="17" t="s">
        <v>529</v>
      </c>
      <c r="B71" s="8" t="s">
        <v>20</v>
      </c>
      <c r="C71" s="12" t="s">
        <v>530</v>
      </c>
      <c r="D71" s="8">
        <v>2</v>
      </c>
      <c r="E71" s="8">
        <v>18</v>
      </c>
      <c r="F71" s="19">
        <v>0</v>
      </c>
      <c r="G71" s="19">
        <v>0</v>
      </c>
      <c r="H71" s="13">
        <v>5.5555555555555552E-2</v>
      </c>
      <c r="I71" s="8">
        <v>22</v>
      </c>
      <c r="J71" s="19">
        <v>0</v>
      </c>
      <c r="K71" s="19">
        <v>0</v>
      </c>
      <c r="L71" s="13">
        <v>4.5454545454545463E-2</v>
      </c>
      <c r="M71" s="8" t="s">
        <v>664</v>
      </c>
      <c r="N71" s="19">
        <v>0</v>
      </c>
      <c r="O71" s="19">
        <v>0</v>
      </c>
      <c r="P71" s="13">
        <v>0</v>
      </c>
      <c r="Q71" s="8" t="s">
        <v>664</v>
      </c>
      <c r="R71" s="19">
        <v>0</v>
      </c>
      <c r="S71" s="19">
        <v>0</v>
      </c>
      <c r="T71" s="13">
        <v>0</v>
      </c>
      <c r="U71" s="8" t="s">
        <v>664</v>
      </c>
      <c r="V71" s="19">
        <v>0</v>
      </c>
      <c r="W71" s="19">
        <v>0</v>
      </c>
      <c r="X71" s="13">
        <v>0</v>
      </c>
      <c r="Y71" s="8" t="s">
        <v>664</v>
      </c>
      <c r="Z71" s="19">
        <v>0</v>
      </c>
      <c r="AA71" s="19">
        <v>0</v>
      </c>
      <c r="AB71" s="13">
        <v>0</v>
      </c>
    </row>
    <row r="72" spans="1:28" x14ac:dyDescent="0.25">
      <c r="A72" s="17" t="s">
        <v>536</v>
      </c>
      <c r="B72" s="8" t="s">
        <v>20</v>
      </c>
      <c r="C72" s="12" t="s">
        <v>537</v>
      </c>
      <c r="D72" s="8">
        <v>2</v>
      </c>
      <c r="E72" s="8">
        <v>3</v>
      </c>
      <c r="F72" s="19">
        <v>0.5</v>
      </c>
      <c r="G72" s="19">
        <v>0.5</v>
      </c>
      <c r="H72" s="13">
        <v>0.33333333333333331</v>
      </c>
      <c r="I72" s="8">
        <v>1</v>
      </c>
      <c r="J72" s="19">
        <v>0.5</v>
      </c>
      <c r="K72" s="19">
        <v>0.5</v>
      </c>
      <c r="L72" s="13">
        <v>1</v>
      </c>
      <c r="M72" s="8">
        <v>16</v>
      </c>
      <c r="N72" s="19">
        <v>0</v>
      </c>
      <c r="O72" s="19">
        <v>0</v>
      </c>
      <c r="P72" s="13">
        <v>6.25E-2</v>
      </c>
      <c r="Q72" s="8" t="s">
        <v>664</v>
      </c>
      <c r="R72" s="19">
        <v>0</v>
      </c>
      <c r="S72" s="19">
        <v>0</v>
      </c>
      <c r="T72" s="13">
        <v>0</v>
      </c>
      <c r="U72" s="8" t="s">
        <v>664</v>
      </c>
      <c r="V72" s="19">
        <v>0</v>
      </c>
      <c r="W72" s="19">
        <v>0</v>
      </c>
      <c r="X72" s="13">
        <v>0</v>
      </c>
      <c r="Y72" s="8">
        <v>4</v>
      </c>
      <c r="Z72" s="19">
        <v>0.5</v>
      </c>
      <c r="AA72" s="19">
        <v>0.5</v>
      </c>
      <c r="AB72" s="13">
        <v>0.25</v>
      </c>
    </row>
    <row r="73" spans="1:28" x14ac:dyDescent="0.25">
      <c r="A73" s="17" t="s">
        <v>542</v>
      </c>
      <c r="B73" s="8" t="s">
        <v>20</v>
      </c>
      <c r="C73" s="12" t="s">
        <v>543</v>
      </c>
      <c r="D73" s="8">
        <v>2</v>
      </c>
      <c r="E73" s="8" t="s">
        <v>665</v>
      </c>
      <c r="F73" s="19"/>
      <c r="G73" s="19"/>
      <c r="H73" s="13"/>
      <c r="I73" s="8" t="s">
        <v>665</v>
      </c>
      <c r="J73" s="19"/>
      <c r="K73" s="19"/>
      <c r="L73" s="13"/>
      <c r="M73" s="8" t="s">
        <v>665</v>
      </c>
      <c r="N73" s="19"/>
      <c r="O73" s="19"/>
      <c r="P73" s="13"/>
      <c r="Q73" s="8" t="s">
        <v>665</v>
      </c>
      <c r="R73" s="19"/>
      <c r="S73" s="19"/>
      <c r="T73" s="13"/>
      <c r="U73" s="8" t="s">
        <v>665</v>
      </c>
      <c r="V73" s="19"/>
      <c r="W73" s="19"/>
      <c r="X73" s="13"/>
      <c r="Y73" s="8" t="s">
        <v>665</v>
      </c>
      <c r="Z73" s="19"/>
      <c r="AA73" s="19"/>
      <c r="AB73" s="13"/>
    </row>
    <row r="74" spans="1:28" ht="25.5" x14ac:dyDescent="0.25">
      <c r="A74" s="17" t="s">
        <v>549</v>
      </c>
      <c r="B74" s="8" t="s">
        <v>21</v>
      </c>
      <c r="C74" s="12" t="s">
        <v>550</v>
      </c>
      <c r="D74" s="8" t="s">
        <v>664</v>
      </c>
      <c r="E74" s="8" t="s">
        <v>666</v>
      </c>
      <c r="F74" s="19"/>
      <c r="G74" s="19"/>
      <c r="H74" s="13"/>
      <c r="I74" s="8" t="s">
        <v>666</v>
      </c>
      <c r="J74" s="19"/>
      <c r="K74" s="19"/>
      <c r="L74" s="13"/>
      <c r="M74" s="8" t="s">
        <v>666</v>
      </c>
      <c r="N74" s="19"/>
      <c r="O74" s="19"/>
      <c r="P74" s="13"/>
      <c r="Q74" s="8" t="s">
        <v>666</v>
      </c>
      <c r="R74" s="19"/>
      <c r="S74" s="19"/>
      <c r="T74" s="13"/>
      <c r="U74" s="8" t="s">
        <v>666</v>
      </c>
      <c r="V74" s="19"/>
      <c r="W74" s="19"/>
      <c r="X74" s="13"/>
      <c r="Y74" s="8" t="s">
        <v>666</v>
      </c>
      <c r="Z74" s="19"/>
      <c r="AA74" s="19"/>
      <c r="AB74" s="13"/>
    </row>
    <row r="75" spans="1:28" ht="25.5" x14ac:dyDescent="0.25">
      <c r="A75" s="17" t="s">
        <v>554</v>
      </c>
      <c r="B75" s="8" t="s">
        <v>21</v>
      </c>
      <c r="C75" s="12" t="s">
        <v>555</v>
      </c>
      <c r="D75" s="8" t="s">
        <v>664</v>
      </c>
      <c r="E75" s="8" t="s">
        <v>666</v>
      </c>
      <c r="F75" s="19"/>
      <c r="G75" s="19"/>
      <c r="H75" s="13"/>
      <c r="I75" s="8" t="s">
        <v>666</v>
      </c>
      <c r="J75" s="19"/>
      <c r="K75" s="19"/>
      <c r="L75" s="13"/>
      <c r="M75" s="8" t="s">
        <v>666</v>
      </c>
      <c r="N75" s="19"/>
      <c r="O75" s="19"/>
      <c r="P75" s="13"/>
      <c r="Q75" s="8" t="s">
        <v>666</v>
      </c>
      <c r="R75" s="19"/>
      <c r="S75" s="19"/>
      <c r="T75" s="13"/>
      <c r="U75" s="8" t="s">
        <v>666</v>
      </c>
      <c r="V75" s="19"/>
      <c r="W75" s="19"/>
      <c r="X75" s="13"/>
      <c r="Y75" s="8" t="s">
        <v>666</v>
      </c>
      <c r="Z75" s="19"/>
      <c r="AA75" s="19"/>
      <c r="AB75" s="13"/>
    </row>
    <row r="76" spans="1:28" ht="25.5" x14ac:dyDescent="0.25">
      <c r="A76" s="17" t="s">
        <v>556</v>
      </c>
      <c r="B76" s="8" t="s">
        <v>16</v>
      </c>
      <c r="C76" s="12" t="s">
        <v>557</v>
      </c>
      <c r="D76" s="8">
        <v>1</v>
      </c>
      <c r="E76" s="8">
        <v>2</v>
      </c>
      <c r="F76" s="19">
        <v>1</v>
      </c>
      <c r="G76" s="19">
        <v>1</v>
      </c>
      <c r="H76" s="13">
        <v>0.5</v>
      </c>
      <c r="I76" s="8">
        <v>2</v>
      </c>
      <c r="J76" s="19">
        <v>1</v>
      </c>
      <c r="K76" s="19">
        <v>1</v>
      </c>
      <c r="L76" s="13">
        <v>0.5</v>
      </c>
      <c r="M76" s="8">
        <v>1</v>
      </c>
      <c r="N76" s="19">
        <v>1</v>
      </c>
      <c r="O76" s="19">
        <v>1</v>
      </c>
      <c r="P76" s="13">
        <v>1</v>
      </c>
      <c r="Q76" s="8">
        <v>1</v>
      </c>
      <c r="R76" s="19">
        <v>1</v>
      </c>
      <c r="S76" s="19">
        <v>1</v>
      </c>
      <c r="T76" s="13">
        <v>1</v>
      </c>
      <c r="U76" s="8">
        <v>15</v>
      </c>
      <c r="V76" s="19">
        <v>0</v>
      </c>
      <c r="W76" s="19">
        <v>0</v>
      </c>
      <c r="X76" s="13">
        <v>6.6666666666666666E-2</v>
      </c>
      <c r="Y76" s="8">
        <v>15</v>
      </c>
      <c r="Z76" s="19">
        <v>0</v>
      </c>
      <c r="AA76" s="19">
        <v>0</v>
      </c>
      <c r="AB76" s="13">
        <v>6.6666666666666666E-2</v>
      </c>
    </row>
    <row r="77" spans="1:28" ht="38.25" x14ac:dyDescent="0.25">
      <c r="A77" s="17" t="s">
        <v>561</v>
      </c>
      <c r="B77" s="8" t="s">
        <v>21</v>
      </c>
      <c r="C77" s="12" t="s">
        <v>562</v>
      </c>
      <c r="D77" s="8" t="s">
        <v>664</v>
      </c>
      <c r="E77" s="8" t="s">
        <v>666</v>
      </c>
      <c r="F77" s="19"/>
      <c r="G77" s="19"/>
      <c r="H77" s="13"/>
      <c r="I77" s="8" t="s">
        <v>666</v>
      </c>
      <c r="J77" s="19"/>
      <c r="K77" s="19"/>
      <c r="L77" s="13"/>
      <c r="M77" s="8" t="s">
        <v>666</v>
      </c>
      <c r="N77" s="19"/>
      <c r="O77" s="19"/>
      <c r="P77" s="13"/>
      <c r="Q77" s="8" t="s">
        <v>666</v>
      </c>
      <c r="R77" s="19"/>
      <c r="S77" s="19"/>
      <c r="T77" s="13"/>
      <c r="U77" s="8" t="s">
        <v>666</v>
      </c>
      <c r="V77" s="19"/>
      <c r="W77" s="19"/>
      <c r="X77" s="13"/>
      <c r="Y77" s="8" t="s">
        <v>666</v>
      </c>
      <c r="Z77" s="19"/>
      <c r="AA77" s="19"/>
      <c r="AB77" s="13"/>
    </row>
    <row r="78" spans="1:28" ht="25.5" x14ac:dyDescent="0.25">
      <c r="A78" s="17" t="s">
        <v>564</v>
      </c>
      <c r="B78" s="8" t="s">
        <v>21</v>
      </c>
      <c r="C78" s="12" t="s">
        <v>565</v>
      </c>
      <c r="D78" s="8" t="s">
        <v>664</v>
      </c>
      <c r="E78" s="8" t="s">
        <v>666</v>
      </c>
      <c r="F78" s="19"/>
      <c r="G78" s="19"/>
      <c r="H78" s="13"/>
      <c r="I78" s="8" t="s">
        <v>666</v>
      </c>
      <c r="J78" s="19"/>
      <c r="K78" s="19"/>
      <c r="L78" s="13"/>
      <c r="M78" s="8" t="s">
        <v>666</v>
      </c>
      <c r="N78" s="19"/>
      <c r="O78" s="19"/>
      <c r="P78" s="13"/>
      <c r="Q78" s="8" t="s">
        <v>666</v>
      </c>
      <c r="R78" s="19"/>
      <c r="S78" s="19"/>
      <c r="T78" s="13"/>
      <c r="U78" s="8" t="s">
        <v>666</v>
      </c>
      <c r="V78" s="19"/>
      <c r="W78" s="19"/>
      <c r="X78" s="13"/>
      <c r="Y78" s="8" t="s">
        <v>666</v>
      </c>
      <c r="Z78" s="19"/>
      <c r="AA78" s="19"/>
      <c r="AB78" s="13"/>
    </row>
    <row r="79" spans="1:28" ht="38.25" x14ac:dyDescent="0.25">
      <c r="A79" s="17" t="s">
        <v>567</v>
      </c>
      <c r="B79" s="8" t="s">
        <v>21</v>
      </c>
      <c r="C79" s="12" t="s">
        <v>568</v>
      </c>
      <c r="D79" s="8" t="s">
        <v>664</v>
      </c>
      <c r="E79" s="8" t="s">
        <v>666</v>
      </c>
      <c r="F79" s="19"/>
      <c r="G79" s="19"/>
      <c r="H79" s="13"/>
      <c r="I79" s="8" t="s">
        <v>666</v>
      </c>
      <c r="J79" s="19"/>
      <c r="K79" s="19"/>
      <c r="L79" s="13"/>
      <c r="M79" s="8" t="s">
        <v>666</v>
      </c>
      <c r="N79" s="19"/>
      <c r="O79" s="19"/>
      <c r="P79" s="13"/>
      <c r="Q79" s="8" t="s">
        <v>666</v>
      </c>
      <c r="R79" s="19"/>
      <c r="S79" s="19"/>
      <c r="T79" s="13"/>
      <c r="U79" s="8" t="s">
        <v>666</v>
      </c>
      <c r="V79" s="19"/>
      <c r="W79" s="19"/>
      <c r="X79" s="13"/>
      <c r="Y79" s="8" t="s">
        <v>666</v>
      </c>
      <c r="Z79" s="19"/>
      <c r="AA79" s="19"/>
      <c r="AB79" s="13"/>
    </row>
    <row r="80" spans="1:28" ht="25.5" x14ac:dyDescent="0.25">
      <c r="A80" s="17" t="s">
        <v>571</v>
      </c>
      <c r="B80" s="8" t="s">
        <v>21</v>
      </c>
      <c r="C80" s="12" t="s">
        <v>572</v>
      </c>
      <c r="D80" s="8" t="s">
        <v>664</v>
      </c>
      <c r="E80" s="8" t="s">
        <v>666</v>
      </c>
      <c r="F80" s="19"/>
      <c r="G80" s="19"/>
      <c r="H80" s="13"/>
      <c r="I80" s="8" t="s">
        <v>666</v>
      </c>
      <c r="J80" s="19"/>
      <c r="K80" s="19"/>
      <c r="L80" s="13"/>
      <c r="M80" s="8" t="s">
        <v>666</v>
      </c>
      <c r="N80" s="19"/>
      <c r="O80" s="19"/>
      <c r="P80" s="13"/>
      <c r="Q80" s="8" t="s">
        <v>666</v>
      </c>
      <c r="R80" s="19"/>
      <c r="S80" s="19"/>
      <c r="T80" s="13"/>
      <c r="U80" s="8" t="s">
        <v>666</v>
      </c>
      <c r="V80" s="19"/>
      <c r="W80" s="19"/>
      <c r="X80" s="13"/>
      <c r="Y80" s="8" t="s">
        <v>666</v>
      </c>
      <c r="Z80" s="19"/>
      <c r="AA80" s="19"/>
      <c r="AB80" s="13"/>
    </row>
    <row r="81" spans="1:28" ht="25.5" x14ac:dyDescent="0.25">
      <c r="A81" s="17" t="s">
        <v>574</v>
      </c>
      <c r="B81" s="8" t="s">
        <v>21</v>
      </c>
      <c r="C81" s="12" t="s">
        <v>575</v>
      </c>
      <c r="D81" s="8" t="s">
        <v>664</v>
      </c>
      <c r="E81" s="8" t="s">
        <v>666</v>
      </c>
      <c r="F81" s="19"/>
      <c r="G81" s="19"/>
      <c r="H81" s="13"/>
      <c r="I81" s="8" t="s">
        <v>666</v>
      </c>
      <c r="J81" s="19"/>
      <c r="K81" s="19"/>
      <c r="L81" s="13"/>
      <c r="M81" s="8" t="s">
        <v>666</v>
      </c>
      <c r="N81" s="19"/>
      <c r="O81" s="19"/>
      <c r="P81" s="13"/>
      <c r="Q81" s="8" t="s">
        <v>666</v>
      </c>
      <c r="R81" s="19"/>
      <c r="S81" s="19"/>
      <c r="T81" s="13"/>
      <c r="U81" s="8" t="s">
        <v>666</v>
      </c>
      <c r="V81" s="19"/>
      <c r="W81" s="19"/>
      <c r="X81" s="13"/>
      <c r="Y81" s="8" t="s">
        <v>666</v>
      </c>
      <c r="Z81" s="19"/>
      <c r="AA81" s="19"/>
      <c r="AB81" s="13"/>
    </row>
    <row r="82" spans="1:28" ht="25.5" x14ac:dyDescent="0.25">
      <c r="A82" s="17" t="s">
        <v>578</v>
      </c>
      <c r="B82" s="8" t="s">
        <v>21</v>
      </c>
      <c r="C82" s="12" t="s">
        <v>579</v>
      </c>
      <c r="D82" s="8" t="s">
        <v>664</v>
      </c>
      <c r="E82" s="8" t="s">
        <v>666</v>
      </c>
      <c r="F82" s="19"/>
      <c r="G82" s="19"/>
      <c r="H82" s="13"/>
      <c r="I82" s="8" t="s">
        <v>666</v>
      </c>
      <c r="J82" s="19"/>
      <c r="K82" s="19"/>
      <c r="L82" s="13"/>
      <c r="M82" s="8" t="s">
        <v>666</v>
      </c>
      <c r="N82" s="19"/>
      <c r="O82" s="19"/>
      <c r="P82" s="13"/>
      <c r="Q82" s="8" t="s">
        <v>666</v>
      </c>
      <c r="R82" s="19"/>
      <c r="S82" s="19"/>
      <c r="T82" s="13"/>
      <c r="U82" s="8" t="s">
        <v>666</v>
      </c>
      <c r="V82" s="19"/>
      <c r="W82" s="19"/>
      <c r="X82" s="13"/>
      <c r="Y82" s="8" t="s">
        <v>666</v>
      </c>
      <c r="Z82" s="19"/>
      <c r="AA82" s="19"/>
      <c r="AB82" s="13"/>
    </row>
    <row r="83" spans="1:28" ht="25.5" x14ac:dyDescent="0.25">
      <c r="A83" s="17" t="s">
        <v>581</v>
      </c>
      <c r="B83" s="8" t="s">
        <v>21</v>
      </c>
      <c r="C83" s="12" t="s">
        <v>582</v>
      </c>
      <c r="D83" s="8" t="s">
        <v>664</v>
      </c>
      <c r="E83" s="8" t="s">
        <v>666</v>
      </c>
      <c r="F83" s="19"/>
      <c r="G83" s="19"/>
      <c r="H83" s="13"/>
      <c r="I83" s="8" t="s">
        <v>666</v>
      </c>
      <c r="J83" s="19"/>
      <c r="K83" s="19"/>
      <c r="L83" s="13"/>
      <c r="M83" s="8" t="s">
        <v>666</v>
      </c>
      <c r="N83" s="19"/>
      <c r="O83" s="19"/>
      <c r="P83" s="13"/>
      <c r="Q83" s="8" t="s">
        <v>666</v>
      </c>
      <c r="R83" s="19"/>
      <c r="S83" s="19"/>
      <c r="T83" s="13"/>
      <c r="U83" s="8" t="s">
        <v>666</v>
      </c>
      <c r="V83" s="19"/>
      <c r="W83" s="19"/>
      <c r="X83" s="13"/>
      <c r="Y83" s="8" t="s">
        <v>666</v>
      </c>
      <c r="Z83" s="19"/>
      <c r="AA83" s="19"/>
      <c r="AB83" s="13"/>
    </row>
    <row r="84" spans="1:28" ht="25.5" x14ac:dyDescent="0.25">
      <c r="A84" s="17" t="s">
        <v>584</v>
      </c>
      <c r="B84" s="8" t="s">
        <v>21</v>
      </c>
      <c r="C84" s="12" t="s">
        <v>585</v>
      </c>
      <c r="D84" s="8" t="s">
        <v>664</v>
      </c>
      <c r="E84" s="8" t="s">
        <v>666</v>
      </c>
      <c r="F84" s="19"/>
      <c r="G84" s="19"/>
      <c r="H84" s="13"/>
      <c r="I84" s="8" t="s">
        <v>666</v>
      </c>
      <c r="J84" s="19"/>
      <c r="K84" s="19"/>
      <c r="L84" s="13"/>
      <c r="M84" s="8" t="s">
        <v>666</v>
      </c>
      <c r="N84" s="19"/>
      <c r="O84" s="19"/>
      <c r="P84" s="13"/>
      <c r="Q84" s="8" t="s">
        <v>666</v>
      </c>
      <c r="R84" s="19"/>
      <c r="S84" s="19"/>
      <c r="T84" s="13"/>
      <c r="U84" s="8" t="s">
        <v>666</v>
      </c>
      <c r="V84" s="19"/>
      <c r="W84" s="19"/>
      <c r="X84" s="13"/>
      <c r="Y84" s="8" t="s">
        <v>666</v>
      </c>
      <c r="Z84" s="19"/>
      <c r="AA84" s="19"/>
      <c r="AB84" s="13"/>
    </row>
    <row r="85" spans="1:28" ht="25.5" x14ac:dyDescent="0.25">
      <c r="A85" s="17" t="s">
        <v>587</v>
      </c>
      <c r="B85" s="8" t="s">
        <v>21</v>
      </c>
      <c r="C85" s="12" t="s">
        <v>588</v>
      </c>
      <c r="D85" s="8" t="s">
        <v>664</v>
      </c>
      <c r="E85" s="8" t="s">
        <v>666</v>
      </c>
      <c r="F85" s="19"/>
      <c r="G85" s="19"/>
      <c r="H85" s="13"/>
      <c r="I85" s="8" t="s">
        <v>666</v>
      </c>
      <c r="J85" s="19"/>
      <c r="K85" s="19"/>
      <c r="L85" s="13"/>
      <c r="M85" s="8" t="s">
        <v>666</v>
      </c>
      <c r="N85" s="19"/>
      <c r="O85" s="19"/>
      <c r="P85" s="13"/>
      <c r="Q85" s="8" t="s">
        <v>666</v>
      </c>
      <c r="R85" s="19"/>
      <c r="S85" s="19"/>
      <c r="T85" s="13"/>
      <c r="U85" s="8" t="s">
        <v>666</v>
      </c>
      <c r="V85" s="19"/>
      <c r="W85" s="19"/>
      <c r="X85" s="13"/>
      <c r="Y85" s="8" t="s">
        <v>666</v>
      </c>
      <c r="Z85" s="19"/>
      <c r="AA85" s="19"/>
      <c r="AB85" s="13"/>
    </row>
    <row r="86" spans="1:28" ht="25.5" x14ac:dyDescent="0.25">
      <c r="A86" s="17" t="s">
        <v>590</v>
      </c>
      <c r="B86" s="8" t="s">
        <v>21</v>
      </c>
      <c r="C86" s="12" t="s">
        <v>591</v>
      </c>
      <c r="D86" s="8" t="s">
        <v>664</v>
      </c>
      <c r="E86" s="8" t="s">
        <v>666</v>
      </c>
      <c r="F86" s="19"/>
      <c r="G86" s="19"/>
      <c r="H86" s="13"/>
      <c r="I86" s="8" t="s">
        <v>666</v>
      </c>
      <c r="J86" s="19"/>
      <c r="K86" s="19"/>
      <c r="L86" s="13"/>
      <c r="M86" s="8" t="s">
        <v>666</v>
      </c>
      <c r="N86" s="19"/>
      <c r="O86" s="19"/>
      <c r="P86" s="13"/>
      <c r="Q86" s="8" t="s">
        <v>666</v>
      </c>
      <c r="R86" s="19"/>
      <c r="S86" s="19"/>
      <c r="T86" s="13"/>
      <c r="U86" s="8" t="s">
        <v>666</v>
      </c>
      <c r="V86" s="19"/>
      <c r="W86" s="19"/>
      <c r="X86" s="13"/>
      <c r="Y86" s="8" t="s">
        <v>666</v>
      </c>
      <c r="Z86" s="19"/>
      <c r="AA86" s="19"/>
      <c r="AB86" s="13"/>
    </row>
    <row r="87" spans="1:28" ht="25.5" x14ac:dyDescent="0.25">
      <c r="A87" s="17" t="s">
        <v>593</v>
      </c>
      <c r="B87" s="8" t="s">
        <v>21</v>
      </c>
      <c r="C87" s="12" t="s">
        <v>594</v>
      </c>
      <c r="D87" s="8" t="s">
        <v>664</v>
      </c>
      <c r="E87" s="8" t="s">
        <v>666</v>
      </c>
      <c r="F87" s="19"/>
      <c r="G87" s="19"/>
      <c r="H87" s="13"/>
      <c r="I87" s="8" t="s">
        <v>666</v>
      </c>
      <c r="J87" s="19"/>
      <c r="K87" s="19"/>
      <c r="L87" s="13"/>
      <c r="M87" s="8" t="s">
        <v>666</v>
      </c>
      <c r="N87" s="19"/>
      <c r="O87" s="19"/>
      <c r="P87" s="13"/>
      <c r="Q87" s="8" t="s">
        <v>666</v>
      </c>
      <c r="R87" s="19"/>
      <c r="S87" s="19"/>
      <c r="T87" s="13"/>
      <c r="U87" s="8" t="s">
        <v>666</v>
      </c>
      <c r="V87" s="19"/>
      <c r="W87" s="19"/>
      <c r="X87" s="13"/>
      <c r="Y87" s="8" t="s">
        <v>666</v>
      </c>
      <c r="Z87" s="19"/>
      <c r="AA87" s="19"/>
      <c r="AB87" s="13"/>
    </row>
    <row r="88" spans="1:28" ht="25.5" x14ac:dyDescent="0.25">
      <c r="A88" s="17" t="s">
        <v>595</v>
      </c>
      <c r="B88" s="8" t="s">
        <v>21</v>
      </c>
      <c r="C88" s="12" t="s">
        <v>596</v>
      </c>
      <c r="D88" s="8" t="s">
        <v>664</v>
      </c>
      <c r="E88" s="8" t="s">
        <v>666</v>
      </c>
      <c r="F88" s="19"/>
      <c r="G88" s="19"/>
      <c r="H88" s="13"/>
      <c r="I88" s="8" t="s">
        <v>666</v>
      </c>
      <c r="J88" s="19"/>
      <c r="K88" s="19"/>
      <c r="L88" s="13"/>
      <c r="M88" s="8" t="s">
        <v>666</v>
      </c>
      <c r="N88" s="19"/>
      <c r="O88" s="19"/>
      <c r="P88" s="13"/>
      <c r="Q88" s="8" t="s">
        <v>666</v>
      </c>
      <c r="R88" s="19"/>
      <c r="S88" s="19"/>
      <c r="T88" s="13"/>
      <c r="U88" s="8" t="s">
        <v>666</v>
      </c>
      <c r="V88" s="19"/>
      <c r="W88" s="19"/>
      <c r="X88" s="13"/>
      <c r="Y88" s="8" t="s">
        <v>666</v>
      </c>
      <c r="Z88" s="19"/>
      <c r="AA88" s="19"/>
      <c r="AB88" s="13"/>
    </row>
    <row r="89" spans="1:28" x14ac:dyDescent="0.25">
      <c r="A89" s="17" t="s">
        <v>597</v>
      </c>
      <c r="B89" s="8" t="s">
        <v>23</v>
      </c>
      <c r="C89" s="12" t="s">
        <v>598</v>
      </c>
      <c r="D89" s="8" t="s">
        <v>664</v>
      </c>
      <c r="E89" s="8" t="s">
        <v>666</v>
      </c>
      <c r="F89" s="19"/>
      <c r="G89" s="19"/>
      <c r="H89" s="13"/>
      <c r="I89" s="8" t="s">
        <v>666</v>
      </c>
      <c r="J89" s="19"/>
      <c r="K89" s="19"/>
      <c r="L89" s="13"/>
      <c r="M89" s="8" t="s">
        <v>666</v>
      </c>
      <c r="N89" s="19"/>
      <c r="O89" s="19"/>
      <c r="P89" s="13"/>
      <c r="Q89" s="8" t="s">
        <v>666</v>
      </c>
      <c r="R89" s="19"/>
      <c r="S89" s="19"/>
      <c r="T89" s="13"/>
      <c r="U89" s="8" t="s">
        <v>666</v>
      </c>
      <c r="V89" s="19"/>
      <c r="W89" s="19"/>
      <c r="X89" s="13"/>
      <c r="Y89" s="8" t="s">
        <v>666</v>
      </c>
      <c r="Z89" s="19"/>
      <c r="AA89" s="19"/>
      <c r="AB89" s="13"/>
    </row>
    <row r="90" spans="1:28" ht="25.5" x14ac:dyDescent="0.25">
      <c r="A90" s="17" t="s">
        <v>601</v>
      </c>
      <c r="B90" s="8" t="s">
        <v>23</v>
      </c>
      <c r="C90" s="12" t="s">
        <v>602</v>
      </c>
      <c r="D90" s="8" t="s">
        <v>664</v>
      </c>
      <c r="E90" s="8" t="s">
        <v>666</v>
      </c>
      <c r="F90" s="19"/>
      <c r="G90" s="19"/>
      <c r="H90" s="13"/>
      <c r="I90" s="8" t="s">
        <v>666</v>
      </c>
      <c r="J90" s="19"/>
      <c r="K90" s="19"/>
      <c r="L90" s="13"/>
      <c r="M90" s="8" t="s">
        <v>666</v>
      </c>
      <c r="N90" s="19"/>
      <c r="O90" s="19"/>
      <c r="P90" s="13"/>
      <c r="Q90" s="8" t="s">
        <v>666</v>
      </c>
      <c r="R90" s="19"/>
      <c r="S90" s="19"/>
      <c r="T90" s="13"/>
      <c r="U90" s="8" t="s">
        <v>666</v>
      </c>
      <c r="V90" s="19"/>
      <c r="W90" s="19"/>
      <c r="X90" s="13"/>
      <c r="Y90" s="8" t="s">
        <v>666</v>
      </c>
      <c r="Z90" s="19"/>
      <c r="AA90" s="19"/>
      <c r="AB90" s="13"/>
    </row>
    <row r="91" spans="1:28" ht="25.5" x14ac:dyDescent="0.25">
      <c r="A91" s="17" t="s">
        <v>603</v>
      </c>
      <c r="B91" s="8" t="s">
        <v>23</v>
      </c>
      <c r="C91" s="12" t="s">
        <v>604</v>
      </c>
      <c r="D91" s="8" t="s">
        <v>664</v>
      </c>
      <c r="E91" s="8" t="s">
        <v>666</v>
      </c>
      <c r="F91" s="19"/>
      <c r="G91" s="19"/>
      <c r="H91" s="13"/>
      <c r="I91" s="8" t="s">
        <v>666</v>
      </c>
      <c r="J91" s="19"/>
      <c r="K91" s="19"/>
      <c r="L91" s="13"/>
      <c r="M91" s="8" t="s">
        <v>666</v>
      </c>
      <c r="N91" s="19"/>
      <c r="O91" s="19"/>
      <c r="P91" s="13"/>
      <c r="Q91" s="8" t="s">
        <v>666</v>
      </c>
      <c r="R91" s="19"/>
      <c r="S91" s="19"/>
      <c r="T91" s="13"/>
      <c r="U91" s="8" t="s">
        <v>666</v>
      </c>
      <c r="V91" s="19"/>
      <c r="W91" s="19"/>
      <c r="X91" s="13"/>
      <c r="Y91" s="8" t="s">
        <v>666</v>
      </c>
      <c r="Z91" s="19"/>
      <c r="AA91" s="19"/>
      <c r="AB91" s="13"/>
    </row>
    <row r="92" spans="1:28" ht="25.5" x14ac:dyDescent="0.25">
      <c r="A92" s="17" t="s">
        <v>605</v>
      </c>
      <c r="B92" s="8" t="s">
        <v>23</v>
      </c>
      <c r="C92" s="12" t="s">
        <v>606</v>
      </c>
      <c r="D92" s="8" t="s">
        <v>664</v>
      </c>
      <c r="E92" s="8" t="s">
        <v>666</v>
      </c>
      <c r="F92" s="19"/>
      <c r="G92" s="19"/>
      <c r="H92" s="13"/>
      <c r="I92" s="8" t="s">
        <v>666</v>
      </c>
      <c r="J92" s="19"/>
      <c r="K92" s="19"/>
      <c r="L92" s="13"/>
      <c r="M92" s="8" t="s">
        <v>666</v>
      </c>
      <c r="N92" s="19"/>
      <c r="O92" s="19"/>
      <c r="P92" s="13"/>
      <c r="Q92" s="8" t="s">
        <v>666</v>
      </c>
      <c r="R92" s="19"/>
      <c r="S92" s="19"/>
      <c r="T92" s="13"/>
      <c r="U92" s="8" t="s">
        <v>666</v>
      </c>
      <c r="V92" s="19"/>
      <c r="W92" s="19"/>
      <c r="X92" s="13"/>
      <c r="Y92" s="8" t="s">
        <v>666</v>
      </c>
      <c r="Z92" s="19"/>
      <c r="AA92" s="19"/>
      <c r="AB92" s="13"/>
    </row>
    <row r="93" spans="1:28" x14ac:dyDescent="0.25">
      <c r="A93" s="17" t="s">
        <v>607</v>
      </c>
      <c r="B93" s="8" t="s">
        <v>23</v>
      </c>
      <c r="C93" s="12" t="s">
        <v>608</v>
      </c>
      <c r="D93" s="8" t="s">
        <v>664</v>
      </c>
      <c r="E93" s="8" t="s">
        <v>666</v>
      </c>
      <c r="F93" s="19"/>
      <c r="G93" s="19"/>
      <c r="H93" s="13"/>
      <c r="I93" s="8" t="s">
        <v>666</v>
      </c>
      <c r="J93" s="19"/>
      <c r="K93" s="19"/>
      <c r="L93" s="13"/>
      <c r="M93" s="8" t="s">
        <v>666</v>
      </c>
      <c r="N93" s="19"/>
      <c r="O93" s="19"/>
      <c r="P93" s="13"/>
      <c r="Q93" s="8" t="s">
        <v>666</v>
      </c>
      <c r="R93" s="19"/>
      <c r="S93" s="19"/>
      <c r="T93" s="13"/>
      <c r="U93" s="8" t="s">
        <v>666</v>
      </c>
      <c r="V93" s="19"/>
      <c r="W93" s="19"/>
      <c r="X93" s="13"/>
      <c r="Y93" s="8" t="s">
        <v>666</v>
      </c>
      <c r="Z93" s="19"/>
      <c r="AA93" s="19"/>
      <c r="AB93" s="13"/>
    </row>
    <row r="94" spans="1:28" x14ac:dyDescent="0.25">
      <c r="A94" s="17" t="s">
        <v>609</v>
      </c>
      <c r="B94" s="8" t="s">
        <v>23</v>
      </c>
      <c r="C94" s="12" t="s">
        <v>610</v>
      </c>
      <c r="D94" s="8" t="s">
        <v>664</v>
      </c>
      <c r="E94" s="8" t="s">
        <v>666</v>
      </c>
      <c r="F94" s="19"/>
      <c r="G94" s="19"/>
      <c r="H94" s="13"/>
      <c r="I94" s="8" t="s">
        <v>666</v>
      </c>
      <c r="J94" s="19"/>
      <c r="K94" s="19"/>
      <c r="L94" s="13"/>
      <c r="M94" s="8" t="s">
        <v>666</v>
      </c>
      <c r="N94" s="19"/>
      <c r="O94" s="19"/>
      <c r="P94" s="13"/>
      <c r="Q94" s="8" t="s">
        <v>666</v>
      </c>
      <c r="R94" s="19"/>
      <c r="S94" s="19"/>
      <c r="T94" s="13"/>
      <c r="U94" s="8" t="s">
        <v>666</v>
      </c>
      <c r="V94" s="19"/>
      <c r="W94" s="19"/>
      <c r="X94" s="13"/>
      <c r="Y94" s="8" t="s">
        <v>666</v>
      </c>
      <c r="Z94" s="19"/>
      <c r="AA94" s="19"/>
      <c r="AB94" s="13"/>
    </row>
    <row r="95" spans="1:28" ht="25.5" x14ac:dyDescent="0.25">
      <c r="A95" s="17" t="s">
        <v>611</v>
      </c>
      <c r="B95" s="8" t="s">
        <v>23</v>
      </c>
      <c r="C95" s="12" t="s">
        <v>612</v>
      </c>
      <c r="D95" s="8" t="s">
        <v>664</v>
      </c>
      <c r="E95" s="8" t="s">
        <v>666</v>
      </c>
      <c r="F95" s="19"/>
      <c r="G95" s="19"/>
      <c r="H95" s="13"/>
      <c r="I95" s="8" t="s">
        <v>666</v>
      </c>
      <c r="J95" s="19"/>
      <c r="K95" s="19"/>
      <c r="L95" s="13"/>
      <c r="M95" s="8" t="s">
        <v>666</v>
      </c>
      <c r="N95" s="19"/>
      <c r="O95" s="19"/>
      <c r="P95" s="13"/>
      <c r="Q95" s="8" t="s">
        <v>666</v>
      </c>
      <c r="R95" s="19"/>
      <c r="S95" s="19"/>
      <c r="T95" s="13"/>
      <c r="U95" s="8" t="s">
        <v>666</v>
      </c>
      <c r="V95" s="19"/>
      <c r="W95" s="19"/>
      <c r="X95" s="13"/>
      <c r="Y95" s="8" t="s">
        <v>666</v>
      </c>
      <c r="Z95" s="19"/>
      <c r="AA95" s="19"/>
      <c r="AB95" s="13"/>
    </row>
    <row r="96" spans="1:28" x14ac:dyDescent="0.25">
      <c r="A96" s="17" t="s">
        <v>613</v>
      </c>
      <c r="B96" s="8" t="s">
        <v>23</v>
      </c>
      <c r="C96" s="12" t="s">
        <v>614</v>
      </c>
      <c r="D96" s="8" t="s">
        <v>664</v>
      </c>
      <c r="E96" s="8" t="s">
        <v>666</v>
      </c>
      <c r="F96" s="19"/>
      <c r="G96" s="19"/>
      <c r="H96" s="13"/>
      <c r="I96" s="8" t="s">
        <v>666</v>
      </c>
      <c r="J96" s="19"/>
      <c r="K96" s="19"/>
      <c r="L96" s="13"/>
      <c r="M96" s="8" t="s">
        <v>666</v>
      </c>
      <c r="N96" s="19"/>
      <c r="O96" s="19"/>
      <c r="P96" s="13"/>
      <c r="Q96" s="8" t="s">
        <v>666</v>
      </c>
      <c r="R96" s="19"/>
      <c r="S96" s="19"/>
      <c r="T96" s="13"/>
      <c r="U96" s="8" t="s">
        <v>666</v>
      </c>
      <c r="V96" s="19"/>
      <c r="W96" s="19"/>
      <c r="X96" s="13"/>
      <c r="Y96" s="8" t="s">
        <v>666</v>
      </c>
      <c r="Z96" s="19"/>
      <c r="AA96" s="19"/>
      <c r="AB96" s="13"/>
    </row>
    <row r="97" spans="1:28" x14ac:dyDescent="0.25">
      <c r="A97" s="17" t="s">
        <v>615</v>
      </c>
      <c r="B97" s="8" t="s">
        <v>23</v>
      </c>
      <c r="C97" s="12" t="s">
        <v>616</v>
      </c>
      <c r="D97" s="8" t="s">
        <v>664</v>
      </c>
      <c r="E97" s="8" t="s">
        <v>666</v>
      </c>
      <c r="F97" s="19"/>
      <c r="G97" s="19"/>
      <c r="H97" s="13"/>
      <c r="I97" s="8" t="s">
        <v>666</v>
      </c>
      <c r="J97" s="19"/>
      <c r="K97" s="19"/>
      <c r="L97" s="13"/>
      <c r="M97" s="8" t="s">
        <v>666</v>
      </c>
      <c r="N97" s="19"/>
      <c r="O97" s="19"/>
      <c r="P97" s="13"/>
      <c r="Q97" s="8" t="s">
        <v>666</v>
      </c>
      <c r="R97" s="19"/>
      <c r="S97" s="19"/>
      <c r="T97" s="13"/>
      <c r="U97" s="8" t="s">
        <v>666</v>
      </c>
      <c r="V97" s="19"/>
      <c r="W97" s="19"/>
      <c r="X97" s="13"/>
      <c r="Y97" s="8" t="s">
        <v>666</v>
      </c>
      <c r="Z97" s="19"/>
      <c r="AA97" s="19"/>
      <c r="AB97" s="13"/>
    </row>
    <row r="98" spans="1:28" ht="25.5" x14ac:dyDescent="0.25">
      <c r="A98" s="17" t="s">
        <v>617</v>
      </c>
      <c r="B98" s="8" t="s">
        <v>23</v>
      </c>
      <c r="C98" s="12" t="s">
        <v>618</v>
      </c>
      <c r="D98" s="8" t="s">
        <v>664</v>
      </c>
      <c r="E98" s="8" t="s">
        <v>666</v>
      </c>
      <c r="F98" s="19"/>
      <c r="G98" s="19"/>
      <c r="H98" s="13"/>
      <c r="I98" s="8" t="s">
        <v>666</v>
      </c>
      <c r="J98" s="19"/>
      <c r="K98" s="19"/>
      <c r="L98" s="13"/>
      <c r="M98" s="8" t="s">
        <v>666</v>
      </c>
      <c r="N98" s="19"/>
      <c r="O98" s="19"/>
      <c r="P98" s="13"/>
      <c r="Q98" s="8" t="s">
        <v>666</v>
      </c>
      <c r="R98" s="19"/>
      <c r="S98" s="19"/>
      <c r="T98" s="13"/>
      <c r="U98" s="8" t="s">
        <v>666</v>
      </c>
      <c r="V98" s="19"/>
      <c r="W98" s="19"/>
      <c r="X98" s="13"/>
      <c r="Y98" s="8" t="s">
        <v>666</v>
      </c>
      <c r="Z98" s="19"/>
      <c r="AA98" s="19"/>
      <c r="AB98" s="13"/>
    </row>
    <row r="99" spans="1:28" ht="25.5" x14ac:dyDescent="0.25">
      <c r="A99" s="17" t="s">
        <v>619</v>
      </c>
      <c r="B99" s="8" t="s">
        <v>21</v>
      </c>
      <c r="C99" s="12" t="s">
        <v>620</v>
      </c>
      <c r="D99" s="8" t="s">
        <v>664</v>
      </c>
      <c r="E99" s="8" t="s">
        <v>666</v>
      </c>
      <c r="F99" s="19"/>
      <c r="G99" s="19"/>
      <c r="H99" s="13"/>
      <c r="I99" s="8" t="s">
        <v>666</v>
      </c>
      <c r="J99" s="19"/>
      <c r="K99" s="19"/>
      <c r="L99" s="13"/>
      <c r="M99" s="8" t="s">
        <v>666</v>
      </c>
      <c r="N99" s="19"/>
      <c r="O99" s="19"/>
      <c r="P99" s="13"/>
      <c r="Q99" s="8" t="s">
        <v>666</v>
      </c>
      <c r="R99" s="19"/>
      <c r="S99" s="19"/>
      <c r="T99" s="13"/>
      <c r="U99" s="8" t="s">
        <v>666</v>
      </c>
      <c r="V99" s="19"/>
      <c r="W99" s="19"/>
      <c r="X99" s="13"/>
      <c r="Y99" s="8" t="s">
        <v>666</v>
      </c>
      <c r="Z99" s="19"/>
      <c r="AA99" s="19"/>
      <c r="AB99" s="13"/>
    </row>
    <row r="100" spans="1:28" ht="38.25" x14ac:dyDescent="0.25">
      <c r="A100" s="17" t="s">
        <v>622</v>
      </c>
      <c r="B100" s="8" t="s">
        <v>16</v>
      </c>
      <c r="C100" s="12" t="s">
        <v>623</v>
      </c>
      <c r="D100" s="8">
        <v>1</v>
      </c>
      <c r="E100" s="8">
        <v>29</v>
      </c>
      <c r="F100" s="19">
        <v>0</v>
      </c>
      <c r="G100" s="19">
        <v>0</v>
      </c>
      <c r="H100" s="13">
        <v>3.4482758620689648E-2</v>
      </c>
      <c r="I100" s="8">
        <v>3</v>
      </c>
      <c r="J100" s="19">
        <v>1</v>
      </c>
      <c r="K100" s="19">
        <v>1</v>
      </c>
      <c r="L100" s="13">
        <v>0.33333333333333331</v>
      </c>
      <c r="M100" s="8">
        <v>28</v>
      </c>
      <c r="N100" s="19">
        <v>0</v>
      </c>
      <c r="O100" s="19">
        <v>0</v>
      </c>
      <c r="P100" s="13">
        <v>3.5714285714285712E-2</v>
      </c>
      <c r="Q100" s="8">
        <v>3</v>
      </c>
      <c r="R100" s="19">
        <v>1</v>
      </c>
      <c r="S100" s="19">
        <v>1</v>
      </c>
      <c r="T100" s="13">
        <v>0.33333333333333331</v>
      </c>
      <c r="U100" s="8">
        <v>2</v>
      </c>
      <c r="V100" s="19">
        <v>1</v>
      </c>
      <c r="W100" s="19">
        <v>1</v>
      </c>
      <c r="X100" s="13">
        <v>0.5</v>
      </c>
      <c r="Y100" s="8">
        <v>2</v>
      </c>
      <c r="Z100" s="19">
        <v>1</v>
      </c>
      <c r="AA100" s="19">
        <v>1</v>
      </c>
      <c r="AB100" s="13">
        <v>0.5</v>
      </c>
    </row>
    <row r="101" spans="1:28" ht="25.5" x14ac:dyDescent="0.25">
      <c r="A101" s="17" t="s">
        <v>627</v>
      </c>
      <c r="B101" s="8" t="s">
        <v>16</v>
      </c>
      <c r="C101" s="12" t="s">
        <v>628</v>
      </c>
      <c r="D101" s="8">
        <v>1</v>
      </c>
      <c r="E101" s="8" t="s">
        <v>664</v>
      </c>
      <c r="F101" s="19">
        <v>0</v>
      </c>
      <c r="G101" s="19">
        <v>0</v>
      </c>
      <c r="H101" s="13">
        <v>0</v>
      </c>
      <c r="I101" s="8" t="s">
        <v>664</v>
      </c>
      <c r="J101" s="19">
        <v>0</v>
      </c>
      <c r="K101" s="19">
        <v>0</v>
      </c>
      <c r="L101" s="13">
        <v>0</v>
      </c>
      <c r="M101" s="8" t="s">
        <v>664</v>
      </c>
      <c r="N101" s="19">
        <v>0</v>
      </c>
      <c r="O101" s="19">
        <v>0</v>
      </c>
      <c r="P101" s="13">
        <v>0</v>
      </c>
      <c r="Q101" s="8" t="s">
        <v>664</v>
      </c>
      <c r="R101" s="19">
        <v>0</v>
      </c>
      <c r="S101" s="19">
        <v>0</v>
      </c>
      <c r="T101" s="13">
        <v>0</v>
      </c>
      <c r="U101" s="8" t="s">
        <v>664</v>
      </c>
      <c r="V101" s="19">
        <v>0</v>
      </c>
      <c r="W101" s="19">
        <v>0</v>
      </c>
      <c r="X101" s="13">
        <v>0</v>
      </c>
      <c r="Y101" s="8" t="s">
        <v>664</v>
      </c>
      <c r="Z101" s="19">
        <v>0</v>
      </c>
      <c r="AA101" s="19">
        <v>0</v>
      </c>
      <c r="AB101" s="13">
        <v>0</v>
      </c>
    </row>
    <row r="102" spans="1:28" ht="38.25" x14ac:dyDescent="0.25">
      <c r="A102" s="17" t="s">
        <v>632</v>
      </c>
      <c r="B102" s="8" t="s">
        <v>16</v>
      </c>
      <c r="C102" s="12" t="s">
        <v>633</v>
      </c>
      <c r="D102" s="8">
        <v>1</v>
      </c>
      <c r="E102" s="8">
        <v>2</v>
      </c>
      <c r="F102" s="19">
        <v>1</v>
      </c>
      <c r="G102" s="19">
        <v>1</v>
      </c>
      <c r="H102" s="13">
        <v>0.5</v>
      </c>
      <c r="I102" s="8">
        <v>1</v>
      </c>
      <c r="J102" s="19">
        <v>1</v>
      </c>
      <c r="K102" s="19">
        <v>1</v>
      </c>
      <c r="L102" s="13">
        <v>1</v>
      </c>
      <c r="M102" s="8">
        <v>1</v>
      </c>
      <c r="N102" s="19">
        <v>1</v>
      </c>
      <c r="O102" s="19">
        <v>1</v>
      </c>
      <c r="P102" s="13">
        <v>1</v>
      </c>
      <c r="Q102" s="8">
        <v>1</v>
      </c>
      <c r="R102" s="19">
        <v>1</v>
      </c>
      <c r="S102" s="19">
        <v>1</v>
      </c>
      <c r="T102" s="13">
        <v>1</v>
      </c>
      <c r="U102" s="8">
        <v>1</v>
      </c>
      <c r="V102" s="19">
        <v>1</v>
      </c>
      <c r="W102" s="19">
        <v>1</v>
      </c>
      <c r="X102" s="13">
        <v>1</v>
      </c>
      <c r="Y102" s="8">
        <v>1</v>
      </c>
      <c r="Z102" s="19">
        <v>1</v>
      </c>
      <c r="AA102" s="19">
        <v>1</v>
      </c>
      <c r="AB102" s="13">
        <v>1</v>
      </c>
    </row>
    <row r="103" spans="1:28" ht="25.5" x14ac:dyDescent="0.25">
      <c r="A103" s="17" t="s">
        <v>637</v>
      </c>
      <c r="B103" s="8" t="s">
        <v>16</v>
      </c>
      <c r="C103" s="12" t="s">
        <v>638</v>
      </c>
      <c r="D103" s="8">
        <v>2</v>
      </c>
      <c r="E103" s="8">
        <v>23</v>
      </c>
      <c r="F103" s="19">
        <v>0</v>
      </c>
      <c r="G103" s="19">
        <v>0</v>
      </c>
      <c r="H103" s="13">
        <v>4.3478260869565223E-2</v>
      </c>
      <c r="I103" s="8">
        <v>3</v>
      </c>
      <c r="J103" s="19">
        <v>1</v>
      </c>
      <c r="K103" s="19">
        <v>1</v>
      </c>
      <c r="L103" s="13">
        <v>0.33333333333333331</v>
      </c>
      <c r="M103" s="8">
        <v>1</v>
      </c>
      <c r="N103" s="19">
        <v>1</v>
      </c>
      <c r="O103" s="19">
        <v>1</v>
      </c>
      <c r="P103" s="13">
        <v>1</v>
      </c>
      <c r="Q103" s="8">
        <v>2</v>
      </c>
      <c r="R103" s="19">
        <v>1</v>
      </c>
      <c r="S103" s="19">
        <v>1</v>
      </c>
      <c r="T103" s="13">
        <v>0.5</v>
      </c>
      <c r="U103" s="8">
        <v>1</v>
      </c>
      <c r="V103" s="19">
        <v>1</v>
      </c>
      <c r="W103" s="19">
        <v>1</v>
      </c>
      <c r="X103" s="13">
        <v>1</v>
      </c>
      <c r="Y103" s="8">
        <v>1</v>
      </c>
      <c r="Z103" s="19">
        <v>1</v>
      </c>
      <c r="AA103" s="19">
        <v>1</v>
      </c>
      <c r="AB103" s="13">
        <v>1</v>
      </c>
    </row>
    <row r="104" spans="1:28" ht="38.25" x14ac:dyDescent="0.25">
      <c r="A104" s="17" t="s">
        <v>643</v>
      </c>
      <c r="B104" s="8" t="s">
        <v>16</v>
      </c>
      <c r="C104" s="12" t="s">
        <v>644</v>
      </c>
      <c r="D104" s="8">
        <v>1</v>
      </c>
      <c r="E104" s="8">
        <v>16</v>
      </c>
      <c r="F104" s="19">
        <v>0</v>
      </c>
      <c r="G104" s="19">
        <v>0</v>
      </c>
      <c r="H104" s="13">
        <v>6.25E-2</v>
      </c>
      <c r="I104" s="8">
        <v>1</v>
      </c>
      <c r="J104" s="19">
        <v>1</v>
      </c>
      <c r="K104" s="19">
        <v>1</v>
      </c>
      <c r="L104" s="13">
        <v>1</v>
      </c>
      <c r="M104" s="8">
        <v>5</v>
      </c>
      <c r="N104" s="19">
        <v>1</v>
      </c>
      <c r="O104" s="19">
        <v>1</v>
      </c>
      <c r="P104" s="13">
        <v>0.2</v>
      </c>
      <c r="Q104" s="8">
        <v>11</v>
      </c>
      <c r="R104" s="19">
        <v>0</v>
      </c>
      <c r="S104" s="19">
        <v>0</v>
      </c>
      <c r="T104" s="13">
        <v>9.0909090909090912E-2</v>
      </c>
      <c r="U104" s="8">
        <v>1</v>
      </c>
      <c r="V104" s="19">
        <v>1</v>
      </c>
      <c r="W104" s="19">
        <v>1</v>
      </c>
      <c r="X104" s="13">
        <v>1</v>
      </c>
      <c r="Y104" s="8">
        <v>1</v>
      </c>
      <c r="Z104" s="19">
        <v>1</v>
      </c>
      <c r="AA104" s="19">
        <v>1</v>
      </c>
      <c r="AB104" s="13">
        <v>1</v>
      </c>
    </row>
    <row r="105" spans="1:28" ht="38.25" x14ac:dyDescent="0.25">
      <c r="A105" s="17" t="s">
        <v>650</v>
      </c>
      <c r="B105" s="8" t="s">
        <v>16</v>
      </c>
      <c r="C105" s="12" t="s">
        <v>651</v>
      </c>
      <c r="D105" s="8">
        <v>1</v>
      </c>
      <c r="E105" s="8">
        <v>2</v>
      </c>
      <c r="F105" s="19">
        <v>1</v>
      </c>
      <c r="G105" s="19">
        <v>1</v>
      </c>
      <c r="H105" s="13">
        <v>0.5</v>
      </c>
      <c r="I105" s="8">
        <v>3</v>
      </c>
      <c r="J105" s="19">
        <v>1</v>
      </c>
      <c r="K105" s="19">
        <v>1</v>
      </c>
      <c r="L105" s="13">
        <v>0.33333333333333331</v>
      </c>
      <c r="M105" s="8">
        <v>1</v>
      </c>
      <c r="N105" s="19">
        <v>1</v>
      </c>
      <c r="O105" s="19">
        <v>1</v>
      </c>
      <c r="P105" s="13">
        <v>1</v>
      </c>
      <c r="Q105" s="8">
        <v>3</v>
      </c>
      <c r="R105" s="19">
        <v>1</v>
      </c>
      <c r="S105" s="19">
        <v>1</v>
      </c>
      <c r="T105" s="13">
        <v>0.33333333333333331</v>
      </c>
      <c r="U105" s="8">
        <v>1</v>
      </c>
      <c r="V105" s="19">
        <v>1</v>
      </c>
      <c r="W105" s="19">
        <v>1</v>
      </c>
      <c r="X105" s="13">
        <v>1</v>
      </c>
      <c r="Y105" s="8">
        <v>1</v>
      </c>
      <c r="Z105" s="19">
        <v>1</v>
      </c>
      <c r="AA105" s="19">
        <v>1</v>
      </c>
      <c r="AB105" s="13">
        <v>1</v>
      </c>
    </row>
    <row r="106" spans="1:28" x14ac:dyDescent="0.25">
      <c r="A106" s="17" t="s">
        <v>654</v>
      </c>
      <c r="B106" s="8" t="s">
        <v>20</v>
      </c>
      <c r="C106" s="12" t="s">
        <v>655</v>
      </c>
      <c r="D106" s="8">
        <v>3</v>
      </c>
      <c r="E106" s="8" t="s">
        <v>664</v>
      </c>
      <c r="F106" s="19">
        <v>0</v>
      </c>
      <c r="G106" s="19">
        <v>0</v>
      </c>
      <c r="H106" s="13">
        <v>0</v>
      </c>
      <c r="I106" s="8" t="s">
        <v>664</v>
      </c>
      <c r="J106" s="19">
        <v>0</v>
      </c>
      <c r="K106" s="19">
        <v>0</v>
      </c>
      <c r="L106" s="13">
        <v>0</v>
      </c>
      <c r="M106" s="8" t="s">
        <v>664</v>
      </c>
      <c r="N106" s="19">
        <v>0</v>
      </c>
      <c r="O106" s="19">
        <v>0</v>
      </c>
      <c r="P106" s="13">
        <v>0</v>
      </c>
      <c r="Q106" s="8">
        <v>7</v>
      </c>
      <c r="R106" s="19">
        <v>0</v>
      </c>
      <c r="S106" s="19">
        <v>0.33333333333333331</v>
      </c>
      <c r="T106" s="13">
        <v>0.14285714285714279</v>
      </c>
      <c r="U106" s="8">
        <v>11</v>
      </c>
      <c r="V106" s="19">
        <v>0</v>
      </c>
      <c r="W106" s="19">
        <v>0</v>
      </c>
      <c r="X106" s="13">
        <v>9.0909090909090912E-2</v>
      </c>
      <c r="Y106" s="8">
        <v>16</v>
      </c>
      <c r="Z106" s="19">
        <v>0</v>
      </c>
      <c r="AA106" s="19">
        <v>0</v>
      </c>
      <c r="AB106" s="13">
        <v>6.25E-2</v>
      </c>
    </row>
    <row r="108" spans="1:28" x14ac:dyDescent="0.25">
      <c r="A108" s="31" t="s">
        <v>667</v>
      </c>
      <c r="B108" s="31"/>
      <c r="C108" s="31"/>
      <c r="D108" s="31"/>
      <c r="E108" s="20" t="s">
        <v>664</v>
      </c>
      <c r="F108" s="21">
        <f>AVERAGE(F3:F106)</f>
        <v>0.28354978354978361</v>
      </c>
      <c r="G108" s="21">
        <f>AVERAGE(G3:G106)</f>
        <v>0.35497835497835495</v>
      </c>
      <c r="H108" s="21">
        <f>AVERAGE(H3:H106)</f>
        <v>0.24108915542466622</v>
      </c>
      <c r="I108" s="20" t="s">
        <v>664</v>
      </c>
      <c r="J108" s="21">
        <f>AVERAGE(J3:J106)</f>
        <v>0.48701298701298701</v>
      </c>
      <c r="K108" s="21">
        <f>AVERAGE(K3:K106)</f>
        <v>0.51298701298701299</v>
      </c>
      <c r="L108" s="21">
        <f>AVERAGE(L3:L106)</f>
        <v>0.40125513015123399</v>
      </c>
      <c r="M108" s="20" t="s">
        <v>664</v>
      </c>
      <c r="N108" s="21">
        <f>AVERAGE(N3:N106)</f>
        <v>0.43939393939393934</v>
      </c>
      <c r="O108" s="21">
        <f>AVERAGE(O3:O106)</f>
        <v>0.55411255411255411</v>
      </c>
      <c r="P108" s="21">
        <f>AVERAGE(P3:P106)</f>
        <v>0.41898959484902948</v>
      </c>
      <c r="Q108" s="20" t="s">
        <v>664</v>
      </c>
      <c r="R108" s="21">
        <f>AVERAGE(R3:R106)</f>
        <v>0.54329004329004327</v>
      </c>
      <c r="S108" s="21">
        <f>AVERAGE(S3:S106)</f>
        <v>0.61688311688311692</v>
      </c>
      <c r="T108" s="21">
        <f>AVERAGE(T3:T106)</f>
        <v>0.47705431512397883</v>
      </c>
      <c r="U108" s="20" t="s">
        <v>664</v>
      </c>
      <c r="V108" s="21">
        <f>AVERAGE(V3:V106)</f>
        <v>0.69913419913419916</v>
      </c>
      <c r="W108" s="21">
        <f>AVERAGE(W3:W106)</f>
        <v>0.75108225108225113</v>
      </c>
      <c r="X108" s="21">
        <f>AVERAGE(X3:X106)</f>
        <v>0.61247212383576044</v>
      </c>
      <c r="Y108" s="20" t="s">
        <v>664</v>
      </c>
      <c r="Z108" s="21">
        <f>AVERAGE(Z3:Z106)</f>
        <v>0.72727272727272729</v>
      </c>
      <c r="AA108" s="21">
        <f>AVERAGE(AA3:AA106)</f>
        <v>0.78354978354978355</v>
      </c>
      <c r="AB108" s="21">
        <f>AVERAGE(AB3:AB106)</f>
        <v>0.62273276240667552</v>
      </c>
    </row>
    <row r="109" spans="1:28" x14ac:dyDescent="0.25">
      <c r="A109" s="31" t="s">
        <v>668</v>
      </c>
      <c r="B109" s="31"/>
      <c r="C109" s="31"/>
      <c r="D109" s="31"/>
      <c r="E109" s="10">
        <f>COUNT(F3:F106)</f>
        <v>77</v>
      </c>
      <c r="F109" s="11"/>
      <c r="G109" s="11"/>
      <c r="H109" s="11"/>
      <c r="I109" s="10">
        <f>COUNT(J3:J106)</f>
        <v>77</v>
      </c>
      <c r="J109" s="11"/>
      <c r="K109" s="11"/>
      <c r="L109" s="11"/>
      <c r="M109" s="10">
        <f>COUNT(N3:N106)</f>
        <v>77</v>
      </c>
      <c r="N109" s="11"/>
      <c r="O109" s="11"/>
      <c r="P109" s="11"/>
      <c r="Q109" s="10">
        <f>COUNT(R3:R106)</f>
        <v>77</v>
      </c>
      <c r="R109" s="11"/>
      <c r="S109" s="11"/>
      <c r="T109" s="11"/>
      <c r="U109" s="10">
        <f>COUNT(V3:V106)</f>
        <v>77</v>
      </c>
      <c r="V109" s="11"/>
      <c r="W109" s="11"/>
      <c r="X109" s="11"/>
      <c r="Y109" s="10">
        <f>COUNT(Z3:Z106)</f>
        <v>77</v>
      </c>
      <c r="Z109" s="11"/>
      <c r="AA109" s="11"/>
      <c r="AB109" s="11"/>
    </row>
    <row r="111" spans="1:28" x14ac:dyDescent="0.25">
      <c r="A111" s="22" t="s">
        <v>669</v>
      </c>
    </row>
    <row r="112" spans="1:28" x14ac:dyDescent="0.25">
      <c r="A112" s="22" t="s">
        <v>670</v>
      </c>
    </row>
    <row r="113" spans="1:1" x14ac:dyDescent="0.25">
      <c r="A113" s="22" t="s">
        <v>671</v>
      </c>
    </row>
    <row r="114" spans="1:1" x14ac:dyDescent="0.25">
      <c r="A114" s="22" t="s">
        <v>672</v>
      </c>
    </row>
  </sheetData>
  <autoFilter ref="A2:AB106" xr:uid="{00000000-0009-0000-0000-000002000000}"/>
  <mergeCells count="12">
    <mergeCell ref="Y1:AB1"/>
    <mergeCell ref="A1:A2"/>
    <mergeCell ref="U1:X1"/>
    <mergeCell ref="A108:D108"/>
    <mergeCell ref="I1:L1"/>
    <mergeCell ref="M1:P1"/>
    <mergeCell ref="A109:D109"/>
    <mergeCell ref="Q1:T1"/>
    <mergeCell ref="C1:C2"/>
    <mergeCell ref="B1:B2"/>
    <mergeCell ref="D1:D2"/>
    <mergeCell ref="E1:H1"/>
  </mergeCells>
  <conditionalFormatting sqref="E3:E106">
    <cfRule type="expression" dxfId="112" priority="1" stopIfTrue="1">
      <formula>AND(ISNUMBER(E3),E3&lt;=5)</formula>
    </cfRule>
    <cfRule type="expression" dxfId="111" priority="2" stopIfTrue="1">
      <formula>AND(ISNUMBER(E3),E3&lt;=10)</formula>
    </cfRule>
    <cfRule type="expression" dxfId="110" priority="3" stopIfTrue="1">
      <formula>ISNUMBER(E3)</formula>
    </cfRule>
    <cfRule type="expression" dxfId="109" priority="4" stopIfTrue="1">
      <formula>E3="—"</formula>
    </cfRule>
    <cfRule type="expression" dxfId="108" priority="5" stopIfTrue="1">
      <formula>E3="kapsam reddi"</formula>
    </cfRule>
    <cfRule type="expression" dxfId="107" priority="6" stopIfTrue="1">
      <formula>E3="ölçülmez"</formula>
    </cfRule>
  </conditionalFormatting>
  <conditionalFormatting sqref="F3:F106">
    <cfRule type="expression" dxfId="106" priority="7">
      <formula>AND(ISNUMBER(F3),F3=1)</formula>
    </cfRule>
    <cfRule type="expression" dxfId="105" priority="8">
      <formula>AND(ISNUMBER(F3),F3&gt;0,F3&lt;1)</formula>
    </cfRule>
  </conditionalFormatting>
  <conditionalFormatting sqref="I3:I106">
    <cfRule type="expression" dxfId="104" priority="9" stopIfTrue="1">
      <formula>AND(ISNUMBER(I3),I3&lt;=5)</formula>
    </cfRule>
    <cfRule type="expression" dxfId="103" priority="10" stopIfTrue="1">
      <formula>AND(ISNUMBER(I3),I3&lt;=10)</formula>
    </cfRule>
    <cfRule type="expression" dxfId="102" priority="11" stopIfTrue="1">
      <formula>ISNUMBER(I3)</formula>
    </cfRule>
    <cfRule type="expression" dxfId="101" priority="12" stopIfTrue="1">
      <formula>I3="—"</formula>
    </cfRule>
    <cfRule type="expression" dxfId="100" priority="13" stopIfTrue="1">
      <formula>I3="kapsam reddi"</formula>
    </cfRule>
    <cfRule type="expression" dxfId="99" priority="14" stopIfTrue="1">
      <formula>I3="ölçülmez"</formula>
    </cfRule>
  </conditionalFormatting>
  <conditionalFormatting sqref="J3:J106">
    <cfRule type="expression" dxfId="98" priority="15">
      <formula>AND(ISNUMBER(J3),J3=1)</formula>
    </cfRule>
    <cfRule type="expression" dxfId="97" priority="16">
      <formula>AND(ISNUMBER(J3),J3&gt;0,J3&lt;1)</formula>
    </cfRule>
  </conditionalFormatting>
  <conditionalFormatting sqref="M3:M106">
    <cfRule type="expression" dxfId="96" priority="17" stopIfTrue="1">
      <formula>AND(ISNUMBER(M3),M3&lt;=5)</formula>
    </cfRule>
    <cfRule type="expression" dxfId="95" priority="18" stopIfTrue="1">
      <formula>AND(ISNUMBER(M3),M3&lt;=10)</formula>
    </cfRule>
    <cfRule type="expression" dxfId="94" priority="19" stopIfTrue="1">
      <formula>ISNUMBER(M3)</formula>
    </cfRule>
    <cfRule type="expression" dxfId="93" priority="20" stopIfTrue="1">
      <formula>M3="—"</formula>
    </cfRule>
    <cfRule type="expression" dxfId="92" priority="21" stopIfTrue="1">
      <formula>M3="kapsam reddi"</formula>
    </cfRule>
    <cfRule type="expression" dxfId="91" priority="22" stopIfTrue="1">
      <formula>M3="ölçülmez"</formula>
    </cfRule>
  </conditionalFormatting>
  <conditionalFormatting sqref="N3:N106">
    <cfRule type="expression" dxfId="90" priority="23">
      <formula>AND(ISNUMBER(N3),N3=1)</formula>
    </cfRule>
    <cfRule type="expression" dxfId="89" priority="24">
      <formula>AND(ISNUMBER(N3),N3&gt;0,N3&lt;1)</formula>
    </cfRule>
  </conditionalFormatting>
  <conditionalFormatting sqref="Q3:Q106">
    <cfRule type="expression" dxfId="88" priority="25" stopIfTrue="1">
      <formula>AND(ISNUMBER(Q3),Q3&lt;=5)</formula>
    </cfRule>
    <cfRule type="expression" dxfId="87" priority="26" stopIfTrue="1">
      <formula>AND(ISNUMBER(Q3),Q3&lt;=10)</formula>
    </cfRule>
    <cfRule type="expression" dxfId="86" priority="27" stopIfTrue="1">
      <formula>ISNUMBER(Q3)</formula>
    </cfRule>
    <cfRule type="expression" dxfId="85" priority="28" stopIfTrue="1">
      <formula>Q3="—"</formula>
    </cfRule>
    <cfRule type="expression" dxfId="84" priority="29" stopIfTrue="1">
      <formula>Q3="kapsam reddi"</formula>
    </cfRule>
    <cfRule type="expression" dxfId="83" priority="30" stopIfTrue="1">
      <formula>Q3="ölçülmez"</formula>
    </cfRule>
  </conditionalFormatting>
  <conditionalFormatting sqref="R3:R106">
    <cfRule type="expression" dxfId="82" priority="31">
      <formula>AND(ISNUMBER(R3),R3=1)</formula>
    </cfRule>
    <cfRule type="expression" dxfId="81" priority="32">
      <formula>AND(ISNUMBER(R3),R3&gt;0,R3&lt;1)</formula>
    </cfRule>
  </conditionalFormatting>
  <conditionalFormatting sqref="U3:U106">
    <cfRule type="expression" dxfId="80" priority="33" stopIfTrue="1">
      <formula>AND(ISNUMBER(U3),U3&lt;=5)</formula>
    </cfRule>
    <cfRule type="expression" dxfId="79" priority="34" stopIfTrue="1">
      <formula>AND(ISNUMBER(U3),U3&lt;=10)</formula>
    </cfRule>
    <cfRule type="expression" dxfId="78" priority="35" stopIfTrue="1">
      <formula>ISNUMBER(U3)</formula>
    </cfRule>
    <cfRule type="expression" dxfId="77" priority="36" stopIfTrue="1">
      <formula>U3="—"</formula>
    </cfRule>
    <cfRule type="expression" dxfId="76" priority="37" stopIfTrue="1">
      <formula>U3="kapsam reddi"</formula>
    </cfRule>
    <cfRule type="expression" dxfId="75" priority="38" stopIfTrue="1">
      <formula>U3="ölçülmez"</formula>
    </cfRule>
  </conditionalFormatting>
  <conditionalFormatting sqref="V3:V106">
    <cfRule type="expression" dxfId="74" priority="39">
      <formula>AND(ISNUMBER(V3),V3=1)</formula>
    </cfRule>
    <cfRule type="expression" dxfId="73" priority="40">
      <formula>AND(ISNUMBER(V3),V3&gt;0,V3&lt;1)</formula>
    </cfRule>
  </conditionalFormatting>
  <conditionalFormatting sqref="Y3:Y106">
    <cfRule type="expression" dxfId="72" priority="41" stopIfTrue="1">
      <formula>AND(ISNUMBER(Y3),Y3&lt;=5)</formula>
    </cfRule>
    <cfRule type="expression" dxfId="71" priority="42" stopIfTrue="1">
      <formula>AND(ISNUMBER(Y3),Y3&lt;=10)</formula>
    </cfRule>
    <cfRule type="expression" dxfId="70" priority="43" stopIfTrue="1">
      <formula>ISNUMBER(Y3)</formula>
    </cfRule>
    <cfRule type="expression" dxfId="69" priority="44" stopIfTrue="1">
      <formula>Y3="—"</formula>
    </cfRule>
    <cfRule type="expression" dxfId="68" priority="45" stopIfTrue="1">
      <formula>Y3="kapsam reddi"</formula>
    </cfRule>
    <cfRule type="expression" dxfId="67" priority="46" stopIfTrue="1">
      <formula>Y3="ölçülmez"</formula>
    </cfRule>
  </conditionalFormatting>
  <conditionalFormatting sqref="Z3:Z106">
    <cfRule type="expression" dxfId="66" priority="47">
      <formula>AND(ISNUMBER(Z3),Z3=1)</formula>
    </cfRule>
    <cfRule type="expression" dxfId="65" priority="48">
      <formula>AND(ISNUMBER(Z3),Z3&gt;0,Z3&lt;1)</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11"/>
  <sheetViews>
    <sheetView zoomScale="90" workbookViewId="0">
      <pane xSplit="4" ySplit="2" topLeftCell="E3" activePane="bottomRight" state="frozen"/>
      <selection pane="topRight"/>
      <selection pane="bottomLeft"/>
      <selection pane="bottomRight"/>
    </sheetView>
  </sheetViews>
  <sheetFormatPr defaultRowHeight="15" x14ac:dyDescent="0.25"/>
  <cols>
    <col min="1" max="1" width="8" customWidth="1"/>
    <col min="2" max="2" width="11" customWidth="1"/>
    <col min="3" max="3" width="48" customWidth="1"/>
    <col min="4" max="4" width="16" customWidth="1"/>
    <col min="5" max="6" width="15" customWidth="1"/>
    <col min="7" max="7" width="9" customWidth="1"/>
    <col min="8" max="8" width="10" customWidth="1"/>
    <col min="9" max="10" width="15" customWidth="1"/>
    <col min="11" max="11" width="9" customWidth="1"/>
    <col min="12" max="12" width="10" customWidth="1"/>
    <col min="13" max="14" width="15" customWidth="1"/>
    <col min="15" max="15" width="9" customWidth="1"/>
    <col min="16" max="16" width="10" customWidth="1"/>
    <col min="17" max="18" width="15" customWidth="1"/>
    <col min="19" max="19" width="9" customWidth="1"/>
    <col min="20" max="20" width="10" customWidth="1"/>
    <col min="21" max="22" width="15" customWidth="1"/>
    <col min="23" max="23" width="9" customWidth="1"/>
    <col min="24" max="24" width="10" customWidth="1"/>
    <col min="25" max="26" width="15" customWidth="1"/>
    <col min="27" max="27" width="9" customWidth="1"/>
    <col min="28" max="28" width="10" customWidth="1"/>
    <col min="29" max="30" width="42" customWidth="1"/>
  </cols>
  <sheetData>
    <row r="1" spans="1:30" ht="48" customHeight="1" x14ac:dyDescent="0.25">
      <c r="A1" s="30" t="s">
        <v>93</v>
      </c>
      <c r="B1" s="30" t="s">
        <v>10</v>
      </c>
      <c r="C1" s="30" t="s">
        <v>11</v>
      </c>
      <c r="D1" s="30" t="s">
        <v>15</v>
      </c>
      <c r="E1" s="30" t="s">
        <v>36</v>
      </c>
      <c r="F1" s="27"/>
      <c r="G1" s="27"/>
      <c r="H1" s="28"/>
      <c r="I1" s="30" t="s">
        <v>37</v>
      </c>
      <c r="J1" s="27"/>
      <c r="K1" s="27"/>
      <c r="L1" s="28"/>
      <c r="M1" s="30" t="s">
        <v>38</v>
      </c>
      <c r="N1" s="27"/>
      <c r="O1" s="27"/>
      <c r="P1" s="28"/>
      <c r="Q1" s="30" t="s">
        <v>39</v>
      </c>
      <c r="R1" s="27"/>
      <c r="S1" s="27"/>
      <c r="T1" s="28"/>
      <c r="U1" s="30" t="s">
        <v>40</v>
      </c>
      <c r="V1" s="27"/>
      <c r="W1" s="27"/>
      <c r="X1" s="28"/>
      <c r="Y1" s="30" t="s">
        <v>41</v>
      </c>
      <c r="Z1" s="27"/>
      <c r="AA1" s="27"/>
      <c r="AB1" s="28"/>
      <c r="AC1" s="30" t="s">
        <v>673</v>
      </c>
      <c r="AD1" s="30" t="s">
        <v>674</v>
      </c>
    </row>
    <row r="2" spans="1:30" ht="30" customHeight="1" x14ac:dyDescent="0.25">
      <c r="A2" s="32"/>
      <c r="B2" s="32"/>
      <c r="C2" s="32"/>
      <c r="D2" s="32"/>
      <c r="E2" s="18" t="s">
        <v>675</v>
      </c>
      <c r="F2" s="18" t="s">
        <v>676</v>
      </c>
      <c r="G2" s="18" t="s">
        <v>677</v>
      </c>
      <c r="H2" s="18" t="s">
        <v>678</v>
      </c>
      <c r="I2" s="18" t="s">
        <v>675</v>
      </c>
      <c r="J2" s="18" t="s">
        <v>676</v>
      </c>
      <c r="K2" s="18" t="s">
        <v>677</v>
      </c>
      <c r="L2" s="18" t="s">
        <v>678</v>
      </c>
      <c r="M2" s="18" t="s">
        <v>675</v>
      </c>
      <c r="N2" s="18" t="s">
        <v>676</v>
      </c>
      <c r="O2" s="18" t="s">
        <v>677</v>
      </c>
      <c r="P2" s="18" t="s">
        <v>678</v>
      </c>
      <c r="Q2" s="18" t="s">
        <v>675</v>
      </c>
      <c r="R2" s="18" t="s">
        <v>676</v>
      </c>
      <c r="S2" s="18" t="s">
        <v>677</v>
      </c>
      <c r="T2" s="18" t="s">
        <v>678</v>
      </c>
      <c r="U2" s="18" t="s">
        <v>675</v>
      </c>
      <c r="V2" s="18" t="s">
        <v>676</v>
      </c>
      <c r="W2" s="18" t="s">
        <v>677</v>
      </c>
      <c r="X2" s="18" t="s">
        <v>678</v>
      </c>
      <c r="Y2" s="18" t="s">
        <v>675</v>
      </c>
      <c r="Z2" s="18" t="s">
        <v>676</v>
      </c>
      <c r="AA2" s="18" t="s">
        <v>677</v>
      </c>
      <c r="AB2" s="18" t="s">
        <v>678</v>
      </c>
      <c r="AC2" s="32"/>
      <c r="AD2" s="32"/>
    </row>
    <row r="3" spans="1:30" ht="38.25" x14ac:dyDescent="0.25">
      <c r="A3" s="17" t="s">
        <v>103</v>
      </c>
      <c r="B3" s="8" t="s">
        <v>16</v>
      </c>
      <c r="C3" s="12" t="s">
        <v>104</v>
      </c>
      <c r="D3" s="12" t="s">
        <v>679</v>
      </c>
      <c r="E3" s="23" t="s">
        <v>680</v>
      </c>
      <c r="F3" s="23" t="s">
        <v>50</v>
      </c>
      <c r="G3" s="8" t="s">
        <v>110</v>
      </c>
      <c r="H3" s="8" t="s">
        <v>110</v>
      </c>
      <c r="I3" s="23" t="s">
        <v>680</v>
      </c>
      <c r="J3" s="23" t="s">
        <v>50</v>
      </c>
      <c r="K3" s="8" t="s">
        <v>110</v>
      </c>
      <c r="L3" s="8" t="s">
        <v>110</v>
      </c>
      <c r="M3" s="23" t="s">
        <v>680</v>
      </c>
      <c r="N3" s="23" t="s">
        <v>50</v>
      </c>
      <c r="O3" s="8" t="s">
        <v>110</v>
      </c>
      <c r="P3" s="8" t="s">
        <v>110</v>
      </c>
      <c r="Q3" s="23" t="s">
        <v>680</v>
      </c>
      <c r="R3" s="23" t="s">
        <v>50</v>
      </c>
      <c r="S3" s="8" t="s">
        <v>110</v>
      </c>
      <c r="T3" s="8" t="s">
        <v>110</v>
      </c>
      <c r="U3" s="23" t="s">
        <v>680</v>
      </c>
      <c r="V3" s="23" t="s">
        <v>50</v>
      </c>
      <c r="W3" s="8" t="s">
        <v>110</v>
      </c>
      <c r="X3" s="8" t="s">
        <v>110</v>
      </c>
      <c r="Y3" s="23" t="s">
        <v>680</v>
      </c>
      <c r="Z3" s="23" t="s">
        <v>50</v>
      </c>
      <c r="AA3" s="8" t="s">
        <v>110</v>
      </c>
      <c r="AB3" s="8" t="s">
        <v>110</v>
      </c>
      <c r="AC3" s="12"/>
      <c r="AD3" s="12"/>
    </row>
    <row r="4" spans="1:30" ht="25.5" x14ac:dyDescent="0.25">
      <c r="A4" s="17" t="s">
        <v>112</v>
      </c>
      <c r="B4" s="8" t="s">
        <v>18</v>
      </c>
      <c r="C4" s="12" t="s">
        <v>113</v>
      </c>
      <c r="D4" s="12" t="s">
        <v>679</v>
      </c>
      <c r="E4" s="23" t="s">
        <v>680</v>
      </c>
      <c r="F4" s="23" t="s">
        <v>681</v>
      </c>
      <c r="G4" s="8" t="s">
        <v>682</v>
      </c>
      <c r="H4" s="8" t="s">
        <v>683</v>
      </c>
      <c r="I4" s="23" t="s">
        <v>680</v>
      </c>
      <c r="J4" s="23" t="s">
        <v>681</v>
      </c>
      <c r="K4" s="8" t="s">
        <v>110</v>
      </c>
      <c r="L4" s="8" t="s">
        <v>683</v>
      </c>
      <c r="M4" s="23" t="s">
        <v>680</v>
      </c>
      <c r="N4" s="23" t="s">
        <v>681</v>
      </c>
      <c r="O4" s="8" t="s">
        <v>683</v>
      </c>
      <c r="P4" s="8" t="s">
        <v>683</v>
      </c>
      <c r="Q4" s="23" t="s">
        <v>680</v>
      </c>
      <c r="R4" s="23" t="s">
        <v>681</v>
      </c>
      <c r="S4" s="8" t="s">
        <v>110</v>
      </c>
      <c r="T4" s="8" t="s">
        <v>683</v>
      </c>
      <c r="U4" s="23" t="s">
        <v>680</v>
      </c>
      <c r="V4" s="23" t="s">
        <v>681</v>
      </c>
      <c r="W4" s="8" t="s">
        <v>110</v>
      </c>
      <c r="X4" s="8" t="s">
        <v>683</v>
      </c>
      <c r="Y4" s="23" t="s">
        <v>680</v>
      </c>
      <c r="Z4" s="23" t="s">
        <v>681</v>
      </c>
      <c r="AA4" s="8" t="s">
        <v>110</v>
      </c>
      <c r="AB4" s="8" t="s">
        <v>683</v>
      </c>
      <c r="AC4" s="12" t="s">
        <v>684</v>
      </c>
      <c r="AD4" s="12" t="s">
        <v>684</v>
      </c>
    </row>
    <row r="5" spans="1:30" ht="38.25" x14ac:dyDescent="0.25">
      <c r="A5" s="17" t="s">
        <v>119</v>
      </c>
      <c r="B5" s="8" t="s">
        <v>16</v>
      </c>
      <c r="C5" s="12" t="s">
        <v>120</v>
      </c>
      <c r="D5" s="12" t="s">
        <v>679</v>
      </c>
      <c r="E5" s="23" t="s">
        <v>680</v>
      </c>
      <c r="F5" s="23" t="s">
        <v>681</v>
      </c>
      <c r="G5" s="8" t="s">
        <v>683</v>
      </c>
      <c r="H5" s="8" t="s">
        <v>683</v>
      </c>
      <c r="I5" s="23" t="s">
        <v>680</v>
      </c>
      <c r="J5" s="23" t="s">
        <v>681</v>
      </c>
      <c r="K5" s="8" t="s">
        <v>683</v>
      </c>
      <c r="L5" s="8" t="s">
        <v>683</v>
      </c>
      <c r="M5" s="23" t="s">
        <v>680</v>
      </c>
      <c r="N5" s="23" t="s">
        <v>50</v>
      </c>
      <c r="O5" s="8" t="s">
        <v>110</v>
      </c>
      <c r="P5" s="8" t="s">
        <v>110</v>
      </c>
      <c r="Q5" s="23" t="s">
        <v>680</v>
      </c>
      <c r="R5" s="23" t="s">
        <v>50</v>
      </c>
      <c r="S5" s="8" t="s">
        <v>110</v>
      </c>
      <c r="T5" s="8" t="s">
        <v>110</v>
      </c>
      <c r="U5" s="23" t="s">
        <v>680</v>
      </c>
      <c r="V5" s="23" t="s">
        <v>681</v>
      </c>
      <c r="W5" s="8" t="s">
        <v>683</v>
      </c>
      <c r="X5" s="8" t="s">
        <v>683</v>
      </c>
      <c r="Y5" s="23" t="s">
        <v>680</v>
      </c>
      <c r="Z5" s="23" t="s">
        <v>681</v>
      </c>
      <c r="AA5" s="8" t="s">
        <v>683</v>
      </c>
      <c r="AB5" s="8" t="s">
        <v>683</v>
      </c>
      <c r="AC5" s="12" t="s">
        <v>685</v>
      </c>
      <c r="AD5" s="12" t="s">
        <v>685</v>
      </c>
    </row>
    <row r="6" spans="1:30" ht="38.25" x14ac:dyDescent="0.25">
      <c r="A6" s="17" t="s">
        <v>125</v>
      </c>
      <c r="B6" s="8" t="s">
        <v>16</v>
      </c>
      <c r="C6" s="12" t="s">
        <v>126</v>
      </c>
      <c r="D6" s="12" t="s">
        <v>679</v>
      </c>
      <c r="E6" s="23" t="s">
        <v>680</v>
      </c>
      <c r="F6" s="23" t="s">
        <v>681</v>
      </c>
      <c r="G6" s="8" t="s">
        <v>683</v>
      </c>
      <c r="H6" s="8" t="s">
        <v>683</v>
      </c>
      <c r="I6" s="23" t="s">
        <v>680</v>
      </c>
      <c r="J6" s="23" t="s">
        <v>681</v>
      </c>
      <c r="K6" s="8" t="s">
        <v>682</v>
      </c>
      <c r="L6" s="8" t="s">
        <v>110</v>
      </c>
      <c r="M6" s="23" t="s">
        <v>680</v>
      </c>
      <c r="N6" s="23" t="s">
        <v>50</v>
      </c>
      <c r="O6" s="8" t="s">
        <v>682</v>
      </c>
      <c r="P6" s="8" t="s">
        <v>110</v>
      </c>
      <c r="Q6" s="23" t="s">
        <v>680</v>
      </c>
      <c r="R6" s="23" t="s">
        <v>50</v>
      </c>
      <c r="S6" s="8" t="s">
        <v>110</v>
      </c>
      <c r="T6" s="8" t="s">
        <v>110</v>
      </c>
      <c r="U6" s="23" t="s">
        <v>680</v>
      </c>
      <c r="V6" s="23" t="s">
        <v>50</v>
      </c>
      <c r="W6" s="8" t="s">
        <v>110</v>
      </c>
      <c r="X6" s="8" t="s">
        <v>110</v>
      </c>
      <c r="Y6" s="23" t="s">
        <v>680</v>
      </c>
      <c r="Z6" s="23" t="s">
        <v>50</v>
      </c>
      <c r="AA6" s="8" t="s">
        <v>110</v>
      </c>
      <c r="AB6" s="8" t="s">
        <v>110</v>
      </c>
      <c r="AC6" s="12"/>
      <c r="AD6" s="12"/>
    </row>
    <row r="7" spans="1:30" ht="25.5" x14ac:dyDescent="0.25">
      <c r="A7" s="17" t="s">
        <v>130</v>
      </c>
      <c r="B7" s="8" t="s">
        <v>16</v>
      </c>
      <c r="C7" s="12" t="s">
        <v>131</v>
      </c>
      <c r="D7" s="12" t="s">
        <v>679</v>
      </c>
      <c r="E7" s="23" t="s">
        <v>680</v>
      </c>
      <c r="F7" s="23" t="s">
        <v>681</v>
      </c>
      <c r="G7" s="8" t="s">
        <v>682</v>
      </c>
      <c r="H7" s="8" t="s">
        <v>110</v>
      </c>
      <c r="I7" s="23" t="s">
        <v>680</v>
      </c>
      <c r="J7" s="23" t="s">
        <v>681</v>
      </c>
      <c r="K7" s="8" t="s">
        <v>110</v>
      </c>
      <c r="L7" s="8" t="s">
        <v>683</v>
      </c>
      <c r="M7" s="23" t="s">
        <v>680</v>
      </c>
      <c r="N7" s="23" t="s">
        <v>681</v>
      </c>
      <c r="O7" s="8" t="s">
        <v>683</v>
      </c>
      <c r="P7" s="8" t="s">
        <v>110</v>
      </c>
      <c r="Q7" s="23" t="s">
        <v>680</v>
      </c>
      <c r="R7" s="23" t="s">
        <v>681</v>
      </c>
      <c r="S7" s="8" t="s">
        <v>683</v>
      </c>
      <c r="T7" s="8" t="s">
        <v>110</v>
      </c>
      <c r="U7" s="23" t="s">
        <v>680</v>
      </c>
      <c r="V7" s="23" t="s">
        <v>681</v>
      </c>
      <c r="W7" s="8" t="s">
        <v>683</v>
      </c>
      <c r="X7" s="8" t="s">
        <v>110</v>
      </c>
      <c r="Y7" s="23" t="s">
        <v>680</v>
      </c>
      <c r="Z7" s="23" t="s">
        <v>681</v>
      </c>
      <c r="AA7" s="8" t="s">
        <v>683</v>
      </c>
      <c r="AB7" s="8" t="s">
        <v>110</v>
      </c>
      <c r="AC7" s="12" t="s">
        <v>686</v>
      </c>
      <c r="AD7" s="12" t="s">
        <v>686</v>
      </c>
    </row>
    <row r="8" spans="1:30" ht="25.5" x14ac:dyDescent="0.25">
      <c r="A8" s="17" t="s">
        <v>135</v>
      </c>
      <c r="B8" s="8" t="s">
        <v>16</v>
      </c>
      <c r="C8" s="12" t="s">
        <v>136</v>
      </c>
      <c r="D8" s="12" t="s">
        <v>679</v>
      </c>
      <c r="E8" s="23" t="s">
        <v>680</v>
      </c>
      <c r="F8" s="23" t="s">
        <v>50</v>
      </c>
      <c r="G8" s="8" t="s">
        <v>110</v>
      </c>
      <c r="H8" s="8" t="s">
        <v>110</v>
      </c>
      <c r="I8" s="23" t="s">
        <v>680</v>
      </c>
      <c r="J8" s="23" t="s">
        <v>50</v>
      </c>
      <c r="K8" s="8" t="s">
        <v>110</v>
      </c>
      <c r="L8" s="8" t="s">
        <v>110</v>
      </c>
      <c r="M8" s="23" t="s">
        <v>680</v>
      </c>
      <c r="N8" s="23" t="s">
        <v>50</v>
      </c>
      <c r="O8" s="8" t="s">
        <v>110</v>
      </c>
      <c r="P8" s="8" t="s">
        <v>110</v>
      </c>
      <c r="Q8" s="23" t="s">
        <v>680</v>
      </c>
      <c r="R8" s="23" t="s">
        <v>50</v>
      </c>
      <c r="S8" s="8" t="s">
        <v>110</v>
      </c>
      <c r="T8" s="8" t="s">
        <v>110</v>
      </c>
      <c r="U8" s="23" t="s">
        <v>680</v>
      </c>
      <c r="V8" s="23" t="s">
        <v>50</v>
      </c>
      <c r="W8" s="8" t="s">
        <v>110</v>
      </c>
      <c r="X8" s="8" t="s">
        <v>110</v>
      </c>
      <c r="Y8" s="23" t="s">
        <v>680</v>
      </c>
      <c r="Z8" s="23" t="s">
        <v>50</v>
      </c>
      <c r="AA8" s="8" t="s">
        <v>110</v>
      </c>
      <c r="AB8" s="8" t="s">
        <v>110</v>
      </c>
      <c r="AC8" s="12"/>
      <c r="AD8" s="12"/>
    </row>
    <row r="9" spans="1:30" ht="25.5" x14ac:dyDescent="0.25">
      <c r="A9" s="17" t="s">
        <v>140</v>
      </c>
      <c r="B9" s="8" t="s">
        <v>16</v>
      </c>
      <c r="C9" s="12" t="s">
        <v>141</v>
      </c>
      <c r="D9" s="12" t="s">
        <v>679</v>
      </c>
      <c r="E9" s="23" t="s">
        <v>680</v>
      </c>
      <c r="F9" s="23" t="s">
        <v>681</v>
      </c>
      <c r="G9" s="8" t="s">
        <v>683</v>
      </c>
      <c r="H9" s="8" t="s">
        <v>683</v>
      </c>
      <c r="I9" s="23" t="s">
        <v>680</v>
      </c>
      <c r="J9" s="23" t="s">
        <v>50</v>
      </c>
      <c r="K9" s="8" t="s">
        <v>683</v>
      </c>
      <c r="L9" s="8" t="s">
        <v>110</v>
      </c>
      <c r="M9" s="23" t="s">
        <v>680</v>
      </c>
      <c r="N9" s="23" t="s">
        <v>50</v>
      </c>
      <c r="O9" s="8" t="s">
        <v>110</v>
      </c>
      <c r="P9" s="8" t="s">
        <v>110</v>
      </c>
      <c r="Q9" s="23" t="s">
        <v>680</v>
      </c>
      <c r="R9" s="23" t="s">
        <v>50</v>
      </c>
      <c r="S9" s="8" t="s">
        <v>110</v>
      </c>
      <c r="T9" s="8" t="s">
        <v>110</v>
      </c>
      <c r="U9" s="23" t="s">
        <v>680</v>
      </c>
      <c r="V9" s="23" t="s">
        <v>50</v>
      </c>
      <c r="W9" s="8" t="s">
        <v>683</v>
      </c>
      <c r="X9" s="8" t="s">
        <v>110</v>
      </c>
      <c r="Y9" s="23" t="s">
        <v>680</v>
      </c>
      <c r="Z9" s="23" t="s">
        <v>50</v>
      </c>
      <c r="AA9" s="8" t="s">
        <v>683</v>
      </c>
      <c r="AB9" s="8" t="s">
        <v>110</v>
      </c>
      <c r="AC9" s="12" t="s">
        <v>687</v>
      </c>
      <c r="AD9" s="12" t="s">
        <v>687</v>
      </c>
    </row>
    <row r="10" spans="1:30" ht="25.5" x14ac:dyDescent="0.25">
      <c r="A10" s="17" t="s">
        <v>147</v>
      </c>
      <c r="B10" s="8" t="s">
        <v>16</v>
      </c>
      <c r="C10" s="12" t="s">
        <v>148</v>
      </c>
      <c r="D10" s="12" t="s">
        <v>679</v>
      </c>
      <c r="E10" s="23" t="s">
        <v>680</v>
      </c>
      <c r="F10" s="23" t="s">
        <v>50</v>
      </c>
      <c r="G10" s="8" t="s">
        <v>110</v>
      </c>
      <c r="H10" s="8" t="s">
        <v>110</v>
      </c>
      <c r="I10" s="23" t="s">
        <v>680</v>
      </c>
      <c r="J10" s="23" t="s">
        <v>50</v>
      </c>
      <c r="K10" s="8" t="s">
        <v>110</v>
      </c>
      <c r="L10" s="8" t="s">
        <v>110</v>
      </c>
      <c r="M10" s="23" t="s">
        <v>680</v>
      </c>
      <c r="N10" s="23" t="s">
        <v>50</v>
      </c>
      <c r="O10" s="8" t="s">
        <v>110</v>
      </c>
      <c r="P10" s="8" t="s">
        <v>110</v>
      </c>
      <c r="Q10" s="23" t="s">
        <v>680</v>
      </c>
      <c r="R10" s="23" t="s">
        <v>50</v>
      </c>
      <c r="S10" s="8" t="s">
        <v>110</v>
      </c>
      <c r="T10" s="8" t="s">
        <v>110</v>
      </c>
      <c r="U10" s="23" t="s">
        <v>680</v>
      </c>
      <c r="V10" s="23" t="s">
        <v>50</v>
      </c>
      <c r="W10" s="8" t="s">
        <v>110</v>
      </c>
      <c r="X10" s="8" t="s">
        <v>110</v>
      </c>
      <c r="Y10" s="23" t="s">
        <v>680</v>
      </c>
      <c r="Z10" s="23" t="s">
        <v>50</v>
      </c>
      <c r="AA10" s="8" t="s">
        <v>110</v>
      </c>
      <c r="AB10" s="8" t="s">
        <v>110</v>
      </c>
      <c r="AC10" s="12"/>
      <c r="AD10" s="12"/>
    </row>
    <row r="11" spans="1:30" ht="25.5" x14ac:dyDescent="0.25">
      <c r="A11" s="17" t="s">
        <v>154</v>
      </c>
      <c r="B11" s="8" t="s">
        <v>16</v>
      </c>
      <c r="C11" s="12" t="s">
        <v>155</v>
      </c>
      <c r="D11" s="12" t="s">
        <v>679</v>
      </c>
      <c r="E11" s="23" t="s">
        <v>680</v>
      </c>
      <c r="F11" s="23" t="s">
        <v>681</v>
      </c>
      <c r="G11" s="8" t="s">
        <v>683</v>
      </c>
      <c r="H11" s="8" t="s">
        <v>683</v>
      </c>
      <c r="I11" s="23" t="s">
        <v>680</v>
      </c>
      <c r="J11" s="23" t="s">
        <v>50</v>
      </c>
      <c r="K11" s="8" t="s">
        <v>682</v>
      </c>
      <c r="L11" s="8" t="s">
        <v>110</v>
      </c>
      <c r="M11" s="23" t="s">
        <v>680</v>
      </c>
      <c r="N11" s="23" t="s">
        <v>50</v>
      </c>
      <c r="O11" s="8" t="s">
        <v>110</v>
      </c>
      <c r="P11" s="8" t="s">
        <v>110</v>
      </c>
      <c r="Q11" s="23" t="s">
        <v>680</v>
      </c>
      <c r="R11" s="23" t="s">
        <v>50</v>
      </c>
      <c r="S11" s="8" t="s">
        <v>110</v>
      </c>
      <c r="T11" s="8" t="s">
        <v>110</v>
      </c>
      <c r="U11" s="23" t="s">
        <v>680</v>
      </c>
      <c r="V11" s="23" t="s">
        <v>50</v>
      </c>
      <c r="W11" s="8" t="s">
        <v>110</v>
      </c>
      <c r="X11" s="8" t="s">
        <v>110</v>
      </c>
      <c r="Y11" s="23" t="s">
        <v>680</v>
      </c>
      <c r="Z11" s="23" t="s">
        <v>50</v>
      </c>
      <c r="AA11" s="8" t="s">
        <v>110</v>
      </c>
      <c r="AB11" s="8" t="s">
        <v>110</v>
      </c>
      <c r="AC11" s="12"/>
      <c r="AD11" s="12"/>
    </row>
    <row r="12" spans="1:30" ht="38.25" x14ac:dyDescent="0.25">
      <c r="A12" s="17" t="s">
        <v>161</v>
      </c>
      <c r="B12" s="8" t="s">
        <v>16</v>
      </c>
      <c r="C12" s="12" t="s">
        <v>162</v>
      </c>
      <c r="D12" s="12" t="s">
        <v>679</v>
      </c>
      <c r="E12" s="23" t="s">
        <v>680</v>
      </c>
      <c r="F12" s="23" t="s">
        <v>681</v>
      </c>
      <c r="G12" s="8" t="s">
        <v>110</v>
      </c>
      <c r="H12" s="8" t="s">
        <v>683</v>
      </c>
      <c r="I12" s="23" t="s">
        <v>680</v>
      </c>
      <c r="J12" s="23" t="s">
        <v>681</v>
      </c>
      <c r="K12" s="8" t="s">
        <v>683</v>
      </c>
      <c r="L12" s="8" t="s">
        <v>683</v>
      </c>
      <c r="M12" s="23" t="s">
        <v>680</v>
      </c>
      <c r="N12" s="23" t="s">
        <v>50</v>
      </c>
      <c r="O12" s="8" t="s">
        <v>110</v>
      </c>
      <c r="P12" s="8" t="s">
        <v>110</v>
      </c>
      <c r="Q12" s="23" t="s">
        <v>680</v>
      </c>
      <c r="R12" s="23" t="s">
        <v>50</v>
      </c>
      <c r="S12" s="8" t="s">
        <v>110</v>
      </c>
      <c r="T12" s="8" t="s">
        <v>110</v>
      </c>
      <c r="U12" s="23" t="s">
        <v>680</v>
      </c>
      <c r="V12" s="23" t="s">
        <v>681</v>
      </c>
      <c r="W12" s="8" t="s">
        <v>110</v>
      </c>
      <c r="X12" s="8" t="s">
        <v>683</v>
      </c>
      <c r="Y12" s="23" t="s">
        <v>680</v>
      </c>
      <c r="Z12" s="23" t="s">
        <v>681</v>
      </c>
      <c r="AA12" s="8" t="s">
        <v>110</v>
      </c>
      <c r="AB12" s="8" t="s">
        <v>683</v>
      </c>
      <c r="AC12" s="12" t="s">
        <v>688</v>
      </c>
      <c r="AD12" s="12" t="s">
        <v>688</v>
      </c>
    </row>
    <row r="13" spans="1:30" ht="38.25" x14ac:dyDescent="0.25">
      <c r="A13" s="17" t="s">
        <v>168</v>
      </c>
      <c r="B13" s="8" t="s">
        <v>16</v>
      </c>
      <c r="C13" s="12" t="s">
        <v>169</v>
      </c>
      <c r="D13" s="12" t="s">
        <v>679</v>
      </c>
      <c r="E13" s="23" t="s">
        <v>689</v>
      </c>
      <c r="F13" s="23" t="s">
        <v>68</v>
      </c>
      <c r="G13" s="8"/>
      <c r="H13" s="8" t="s">
        <v>683</v>
      </c>
      <c r="I13" s="23" t="s">
        <v>689</v>
      </c>
      <c r="J13" s="23" t="s">
        <v>68</v>
      </c>
      <c r="K13" s="8"/>
      <c r="L13" s="8" t="s">
        <v>683</v>
      </c>
      <c r="M13" s="23" t="s">
        <v>689</v>
      </c>
      <c r="N13" s="23" t="s">
        <v>68</v>
      </c>
      <c r="O13" s="8"/>
      <c r="P13" s="8" t="s">
        <v>683</v>
      </c>
      <c r="Q13" s="23" t="s">
        <v>689</v>
      </c>
      <c r="R13" s="23" t="s">
        <v>68</v>
      </c>
      <c r="S13" s="8"/>
      <c r="T13" s="8" t="s">
        <v>683</v>
      </c>
      <c r="U13" s="23" t="s">
        <v>689</v>
      </c>
      <c r="V13" s="23" t="s">
        <v>68</v>
      </c>
      <c r="W13" s="8"/>
      <c r="X13" s="8" t="s">
        <v>683</v>
      </c>
      <c r="Y13" s="23" t="s">
        <v>689</v>
      </c>
      <c r="Z13" s="23" t="s">
        <v>68</v>
      </c>
      <c r="AA13" s="8"/>
      <c r="AB13" s="8" t="s">
        <v>683</v>
      </c>
      <c r="AC13" s="12" t="s">
        <v>690</v>
      </c>
      <c r="AD13" s="12" t="s">
        <v>690</v>
      </c>
    </row>
    <row r="14" spans="1:30" ht="25.5" x14ac:dyDescent="0.25">
      <c r="A14" s="17" t="s">
        <v>173</v>
      </c>
      <c r="B14" s="8" t="s">
        <v>16</v>
      </c>
      <c r="C14" s="12" t="s">
        <v>174</v>
      </c>
      <c r="D14" s="12" t="s">
        <v>679</v>
      </c>
      <c r="E14" s="23" t="s">
        <v>680</v>
      </c>
      <c r="F14" s="23" t="s">
        <v>681</v>
      </c>
      <c r="G14" s="8" t="s">
        <v>683</v>
      </c>
      <c r="H14" s="8" t="s">
        <v>110</v>
      </c>
      <c r="I14" s="23" t="s">
        <v>680</v>
      </c>
      <c r="J14" s="23" t="s">
        <v>50</v>
      </c>
      <c r="K14" s="8" t="s">
        <v>682</v>
      </c>
      <c r="L14" s="8" t="s">
        <v>110</v>
      </c>
      <c r="M14" s="23" t="s">
        <v>680</v>
      </c>
      <c r="N14" s="23" t="s">
        <v>50</v>
      </c>
      <c r="O14" s="8" t="s">
        <v>110</v>
      </c>
      <c r="P14" s="8" t="s">
        <v>110</v>
      </c>
      <c r="Q14" s="23" t="s">
        <v>680</v>
      </c>
      <c r="R14" s="23" t="s">
        <v>50</v>
      </c>
      <c r="S14" s="8" t="s">
        <v>110</v>
      </c>
      <c r="T14" s="8" t="s">
        <v>110</v>
      </c>
      <c r="U14" s="23" t="s">
        <v>680</v>
      </c>
      <c r="V14" s="23" t="s">
        <v>50</v>
      </c>
      <c r="W14" s="8" t="s">
        <v>110</v>
      </c>
      <c r="X14" s="8" t="s">
        <v>110</v>
      </c>
      <c r="Y14" s="23" t="s">
        <v>680</v>
      </c>
      <c r="Z14" s="23" t="s">
        <v>50</v>
      </c>
      <c r="AA14" s="8" t="s">
        <v>110</v>
      </c>
      <c r="AB14" s="8" t="s">
        <v>110</v>
      </c>
      <c r="AC14" s="12"/>
      <c r="AD14" s="12"/>
    </row>
    <row r="15" spans="1:30" ht="25.5" x14ac:dyDescent="0.25">
      <c r="A15" s="17" t="s">
        <v>180</v>
      </c>
      <c r="B15" s="8" t="s">
        <v>16</v>
      </c>
      <c r="C15" s="12" t="s">
        <v>181</v>
      </c>
      <c r="D15" s="12" t="s">
        <v>679</v>
      </c>
      <c r="E15" s="23" t="s">
        <v>680</v>
      </c>
      <c r="F15" s="23" t="s">
        <v>50</v>
      </c>
      <c r="G15" s="8" t="s">
        <v>682</v>
      </c>
      <c r="H15" s="8" t="s">
        <v>110</v>
      </c>
      <c r="I15" s="23" t="s">
        <v>680</v>
      </c>
      <c r="J15" s="23" t="s">
        <v>50</v>
      </c>
      <c r="K15" s="8" t="s">
        <v>682</v>
      </c>
      <c r="L15" s="8" t="s">
        <v>110</v>
      </c>
      <c r="M15" s="23" t="s">
        <v>680</v>
      </c>
      <c r="N15" s="23" t="s">
        <v>50</v>
      </c>
      <c r="O15" s="8" t="s">
        <v>110</v>
      </c>
      <c r="P15" s="8" t="s">
        <v>110</v>
      </c>
      <c r="Q15" s="23" t="s">
        <v>680</v>
      </c>
      <c r="R15" s="23" t="s">
        <v>50</v>
      </c>
      <c r="S15" s="8" t="s">
        <v>110</v>
      </c>
      <c r="T15" s="8" t="s">
        <v>110</v>
      </c>
      <c r="U15" s="23" t="s">
        <v>680</v>
      </c>
      <c r="V15" s="23" t="s">
        <v>50</v>
      </c>
      <c r="W15" s="8" t="s">
        <v>110</v>
      </c>
      <c r="X15" s="8" t="s">
        <v>110</v>
      </c>
      <c r="Y15" s="23" t="s">
        <v>680</v>
      </c>
      <c r="Z15" s="23" t="s">
        <v>50</v>
      </c>
      <c r="AA15" s="8" t="s">
        <v>110</v>
      </c>
      <c r="AB15" s="8" t="s">
        <v>110</v>
      </c>
      <c r="AC15" s="12"/>
      <c r="AD15" s="12"/>
    </row>
    <row r="16" spans="1:30" ht="25.5" x14ac:dyDescent="0.25">
      <c r="A16" s="17" t="s">
        <v>187</v>
      </c>
      <c r="B16" s="8" t="s">
        <v>16</v>
      </c>
      <c r="C16" s="12" t="s">
        <v>188</v>
      </c>
      <c r="D16" s="12" t="s">
        <v>679</v>
      </c>
      <c r="E16" s="23" t="s">
        <v>680</v>
      </c>
      <c r="F16" s="23" t="s">
        <v>50</v>
      </c>
      <c r="G16" s="8" t="s">
        <v>110</v>
      </c>
      <c r="H16" s="8" t="s">
        <v>110</v>
      </c>
      <c r="I16" s="23" t="s">
        <v>680</v>
      </c>
      <c r="J16" s="23" t="s">
        <v>681</v>
      </c>
      <c r="K16" s="8" t="s">
        <v>683</v>
      </c>
      <c r="L16" s="8" t="s">
        <v>683</v>
      </c>
      <c r="M16" s="23" t="s">
        <v>680</v>
      </c>
      <c r="N16" s="23" t="s">
        <v>50</v>
      </c>
      <c r="O16" s="8" t="s">
        <v>110</v>
      </c>
      <c r="P16" s="8" t="s">
        <v>110</v>
      </c>
      <c r="Q16" s="23" t="s">
        <v>680</v>
      </c>
      <c r="R16" s="23" t="s">
        <v>50</v>
      </c>
      <c r="S16" s="8" t="s">
        <v>110</v>
      </c>
      <c r="T16" s="8" t="s">
        <v>110</v>
      </c>
      <c r="U16" s="23" t="s">
        <v>680</v>
      </c>
      <c r="V16" s="23" t="s">
        <v>50</v>
      </c>
      <c r="W16" s="8" t="s">
        <v>110</v>
      </c>
      <c r="X16" s="8" t="s">
        <v>110</v>
      </c>
      <c r="Y16" s="23" t="s">
        <v>680</v>
      </c>
      <c r="Z16" s="23" t="s">
        <v>50</v>
      </c>
      <c r="AA16" s="8" t="s">
        <v>110</v>
      </c>
      <c r="AB16" s="8" t="s">
        <v>110</v>
      </c>
      <c r="AC16" s="12"/>
      <c r="AD16" s="12"/>
    </row>
    <row r="17" spans="1:30" ht="38.25" x14ac:dyDescent="0.25">
      <c r="A17" s="17" t="s">
        <v>194</v>
      </c>
      <c r="B17" s="8" t="s">
        <v>16</v>
      </c>
      <c r="C17" s="12" t="s">
        <v>195</v>
      </c>
      <c r="D17" s="12" t="s">
        <v>679</v>
      </c>
      <c r="E17" s="23" t="s">
        <v>691</v>
      </c>
      <c r="F17" s="23" t="s">
        <v>68</v>
      </c>
      <c r="G17" s="8"/>
      <c r="H17" s="8" t="s">
        <v>683</v>
      </c>
      <c r="I17" s="23" t="s">
        <v>680</v>
      </c>
      <c r="J17" s="23" t="s">
        <v>50</v>
      </c>
      <c r="K17" s="8" t="s">
        <v>110</v>
      </c>
      <c r="L17" s="8" t="s">
        <v>110</v>
      </c>
      <c r="M17" s="23" t="s">
        <v>680</v>
      </c>
      <c r="N17" s="23" t="s">
        <v>681</v>
      </c>
      <c r="O17" s="8" t="s">
        <v>683</v>
      </c>
      <c r="P17" s="8" t="s">
        <v>683</v>
      </c>
      <c r="Q17" s="23" t="s">
        <v>680</v>
      </c>
      <c r="R17" s="23" t="s">
        <v>50</v>
      </c>
      <c r="S17" s="8" t="s">
        <v>110</v>
      </c>
      <c r="T17" s="8" t="s">
        <v>110</v>
      </c>
      <c r="U17" s="23" t="s">
        <v>680</v>
      </c>
      <c r="V17" s="23" t="s">
        <v>50</v>
      </c>
      <c r="W17" s="8" t="s">
        <v>110</v>
      </c>
      <c r="X17" s="8" t="s">
        <v>110</v>
      </c>
      <c r="Y17" s="23" t="s">
        <v>680</v>
      </c>
      <c r="Z17" s="23" t="s">
        <v>50</v>
      </c>
      <c r="AA17" s="8" t="s">
        <v>110</v>
      </c>
      <c r="AB17" s="8" t="s">
        <v>110</v>
      </c>
      <c r="AC17" s="12"/>
      <c r="AD17" s="12"/>
    </row>
    <row r="18" spans="1:30" ht="25.5" x14ac:dyDescent="0.25">
      <c r="A18" s="17" t="s">
        <v>199</v>
      </c>
      <c r="B18" s="8" t="s">
        <v>16</v>
      </c>
      <c r="C18" s="12" t="s">
        <v>200</v>
      </c>
      <c r="D18" s="12" t="s">
        <v>679</v>
      </c>
      <c r="E18" s="23" t="s">
        <v>680</v>
      </c>
      <c r="F18" s="23" t="s">
        <v>50</v>
      </c>
      <c r="G18" s="8" t="s">
        <v>110</v>
      </c>
      <c r="H18" s="8" t="s">
        <v>110</v>
      </c>
      <c r="I18" s="23" t="s">
        <v>680</v>
      </c>
      <c r="J18" s="23" t="s">
        <v>50</v>
      </c>
      <c r="K18" s="8" t="s">
        <v>110</v>
      </c>
      <c r="L18" s="8" t="s">
        <v>110</v>
      </c>
      <c r="M18" s="23" t="s">
        <v>680</v>
      </c>
      <c r="N18" s="23" t="s">
        <v>681</v>
      </c>
      <c r="O18" s="8" t="s">
        <v>682</v>
      </c>
      <c r="P18" s="8" t="s">
        <v>683</v>
      </c>
      <c r="Q18" s="23" t="s">
        <v>680</v>
      </c>
      <c r="R18" s="23" t="s">
        <v>681</v>
      </c>
      <c r="S18" s="8" t="s">
        <v>682</v>
      </c>
      <c r="T18" s="8" t="s">
        <v>683</v>
      </c>
      <c r="U18" s="23" t="s">
        <v>680</v>
      </c>
      <c r="V18" s="23" t="s">
        <v>50</v>
      </c>
      <c r="W18" s="8" t="s">
        <v>110</v>
      </c>
      <c r="X18" s="8" t="s">
        <v>110</v>
      </c>
      <c r="Y18" s="23" t="s">
        <v>680</v>
      </c>
      <c r="Z18" s="23" t="s">
        <v>50</v>
      </c>
      <c r="AA18" s="8" t="s">
        <v>110</v>
      </c>
      <c r="AB18" s="8" t="s">
        <v>110</v>
      </c>
      <c r="AC18" s="12"/>
      <c r="AD18" s="12"/>
    </row>
    <row r="19" spans="1:30" ht="25.5" x14ac:dyDescent="0.25">
      <c r="A19" s="17" t="s">
        <v>206</v>
      </c>
      <c r="B19" s="8" t="s">
        <v>16</v>
      </c>
      <c r="C19" s="12" t="s">
        <v>207</v>
      </c>
      <c r="D19" s="12" t="s">
        <v>679</v>
      </c>
      <c r="E19" s="23" t="s">
        <v>680</v>
      </c>
      <c r="F19" s="23" t="s">
        <v>50</v>
      </c>
      <c r="G19" s="8" t="s">
        <v>110</v>
      </c>
      <c r="H19" s="8" t="s">
        <v>110</v>
      </c>
      <c r="I19" s="23" t="s">
        <v>680</v>
      </c>
      <c r="J19" s="23" t="s">
        <v>50</v>
      </c>
      <c r="K19" s="8" t="s">
        <v>110</v>
      </c>
      <c r="L19" s="8" t="s">
        <v>110</v>
      </c>
      <c r="M19" s="23" t="s">
        <v>680</v>
      </c>
      <c r="N19" s="23" t="s">
        <v>50</v>
      </c>
      <c r="O19" s="8" t="s">
        <v>110</v>
      </c>
      <c r="P19" s="8" t="s">
        <v>110</v>
      </c>
      <c r="Q19" s="23" t="s">
        <v>680</v>
      </c>
      <c r="R19" s="23" t="s">
        <v>50</v>
      </c>
      <c r="S19" s="8" t="s">
        <v>110</v>
      </c>
      <c r="T19" s="8" t="s">
        <v>110</v>
      </c>
      <c r="U19" s="23" t="s">
        <v>680</v>
      </c>
      <c r="V19" s="23" t="s">
        <v>50</v>
      </c>
      <c r="W19" s="8" t="s">
        <v>110</v>
      </c>
      <c r="X19" s="8" t="s">
        <v>110</v>
      </c>
      <c r="Y19" s="23" t="s">
        <v>680</v>
      </c>
      <c r="Z19" s="23" t="s">
        <v>50</v>
      </c>
      <c r="AA19" s="8" t="s">
        <v>110</v>
      </c>
      <c r="AB19" s="8" t="s">
        <v>110</v>
      </c>
      <c r="AC19" s="12"/>
      <c r="AD19" s="12"/>
    </row>
    <row r="20" spans="1:30" ht="25.5" x14ac:dyDescent="0.25">
      <c r="A20" s="17" t="s">
        <v>213</v>
      </c>
      <c r="B20" s="8" t="s">
        <v>16</v>
      </c>
      <c r="C20" s="12" t="s">
        <v>214</v>
      </c>
      <c r="D20" s="12" t="s">
        <v>679</v>
      </c>
      <c r="E20" s="23" t="s">
        <v>680</v>
      </c>
      <c r="F20" s="23" t="s">
        <v>681</v>
      </c>
      <c r="G20" s="8" t="s">
        <v>683</v>
      </c>
      <c r="H20" s="8" t="s">
        <v>683</v>
      </c>
      <c r="I20" s="23" t="s">
        <v>680</v>
      </c>
      <c r="J20" s="23" t="s">
        <v>681</v>
      </c>
      <c r="K20" s="8" t="s">
        <v>683</v>
      </c>
      <c r="L20" s="8" t="s">
        <v>683</v>
      </c>
      <c r="M20" s="23" t="s">
        <v>680</v>
      </c>
      <c r="N20" s="23" t="s">
        <v>681</v>
      </c>
      <c r="O20" s="8" t="s">
        <v>110</v>
      </c>
      <c r="P20" s="8" t="s">
        <v>683</v>
      </c>
      <c r="Q20" s="23" t="s">
        <v>680</v>
      </c>
      <c r="R20" s="23" t="s">
        <v>681</v>
      </c>
      <c r="S20" s="8" t="s">
        <v>110</v>
      </c>
      <c r="T20" s="8" t="s">
        <v>683</v>
      </c>
      <c r="U20" s="23" t="s">
        <v>680</v>
      </c>
      <c r="V20" s="23" t="s">
        <v>50</v>
      </c>
      <c r="W20" s="8" t="s">
        <v>110</v>
      </c>
      <c r="X20" s="8" t="s">
        <v>683</v>
      </c>
      <c r="Y20" s="23" t="s">
        <v>680</v>
      </c>
      <c r="Z20" s="23" t="s">
        <v>50</v>
      </c>
      <c r="AA20" s="8" t="s">
        <v>110</v>
      </c>
      <c r="AB20" s="8" t="s">
        <v>683</v>
      </c>
      <c r="AC20" s="12"/>
      <c r="AD20" s="12"/>
    </row>
    <row r="21" spans="1:30" ht="25.5" x14ac:dyDescent="0.25">
      <c r="A21" s="17" t="s">
        <v>220</v>
      </c>
      <c r="B21" s="8" t="s">
        <v>16</v>
      </c>
      <c r="C21" s="12" t="s">
        <v>221</v>
      </c>
      <c r="D21" s="12" t="s">
        <v>679</v>
      </c>
      <c r="E21" s="23" t="s">
        <v>680</v>
      </c>
      <c r="F21" s="23" t="s">
        <v>50</v>
      </c>
      <c r="G21" s="8" t="s">
        <v>110</v>
      </c>
      <c r="H21" s="8" t="s">
        <v>110</v>
      </c>
      <c r="I21" s="23" t="s">
        <v>680</v>
      </c>
      <c r="J21" s="23" t="s">
        <v>50</v>
      </c>
      <c r="K21" s="8" t="s">
        <v>110</v>
      </c>
      <c r="L21" s="8" t="s">
        <v>110</v>
      </c>
      <c r="M21" s="23" t="s">
        <v>680</v>
      </c>
      <c r="N21" s="23" t="s">
        <v>50</v>
      </c>
      <c r="O21" s="8" t="s">
        <v>110</v>
      </c>
      <c r="P21" s="8" t="s">
        <v>110</v>
      </c>
      <c r="Q21" s="23" t="s">
        <v>680</v>
      </c>
      <c r="R21" s="23" t="s">
        <v>50</v>
      </c>
      <c r="S21" s="8" t="s">
        <v>110</v>
      </c>
      <c r="T21" s="8" t="s">
        <v>110</v>
      </c>
      <c r="U21" s="23" t="s">
        <v>680</v>
      </c>
      <c r="V21" s="23" t="s">
        <v>50</v>
      </c>
      <c r="W21" s="8" t="s">
        <v>110</v>
      </c>
      <c r="X21" s="8" t="s">
        <v>110</v>
      </c>
      <c r="Y21" s="23" t="s">
        <v>680</v>
      </c>
      <c r="Z21" s="23" t="s">
        <v>50</v>
      </c>
      <c r="AA21" s="8" t="s">
        <v>110</v>
      </c>
      <c r="AB21" s="8" t="s">
        <v>110</v>
      </c>
      <c r="AC21" s="12"/>
      <c r="AD21" s="12"/>
    </row>
    <row r="22" spans="1:30" ht="25.5" x14ac:dyDescent="0.25">
      <c r="A22" s="17" t="s">
        <v>227</v>
      </c>
      <c r="B22" s="8" t="s">
        <v>16</v>
      </c>
      <c r="C22" s="12" t="s">
        <v>228</v>
      </c>
      <c r="D22" s="12" t="s">
        <v>679</v>
      </c>
      <c r="E22" s="23" t="s">
        <v>680</v>
      </c>
      <c r="F22" s="23" t="s">
        <v>681</v>
      </c>
      <c r="G22" s="8" t="s">
        <v>683</v>
      </c>
      <c r="H22" s="8" t="s">
        <v>110</v>
      </c>
      <c r="I22" s="23" t="s">
        <v>680</v>
      </c>
      <c r="J22" s="23" t="s">
        <v>50</v>
      </c>
      <c r="K22" s="8" t="s">
        <v>682</v>
      </c>
      <c r="L22" s="8" t="s">
        <v>110</v>
      </c>
      <c r="M22" s="23" t="s">
        <v>680</v>
      </c>
      <c r="N22" s="23" t="s">
        <v>681</v>
      </c>
      <c r="O22" s="8" t="s">
        <v>682</v>
      </c>
      <c r="P22" s="8" t="s">
        <v>683</v>
      </c>
      <c r="Q22" s="23" t="s">
        <v>692</v>
      </c>
      <c r="R22" s="23" t="s">
        <v>69</v>
      </c>
      <c r="S22" s="8"/>
      <c r="T22" s="8" t="s">
        <v>683</v>
      </c>
      <c r="U22" s="23" t="s">
        <v>680</v>
      </c>
      <c r="V22" s="23" t="s">
        <v>50</v>
      </c>
      <c r="W22" s="8" t="s">
        <v>110</v>
      </c>
      <c r="X22" s="8" t="s">
        <v>110</v>
      </c>
      <c r="Y22" s="23" t="s">
        <v>680</v>
      </c>
      <c r="Z22" s="23" t="s">
        <v>50</v>
      </c>
      <c r="AA22" s="8" t="s">
        <v>110</v>
      </c>
      <c r="AB22" s="8" t="s">
        <v>110</v>
      </c>
      <c r="AC22" s="12"/>
      <c r="AD22" s="12"/>
    </row>
    <row r="23" spans="1:30" ht="25.5" x14ac:dyDescent="0.25">
      <c r="A23" s="17" t="s">
        <v>234</v>
      </c>
      <c r="B23" s="8" t="s">
        <v>16</v>
      </c>
      <c r="C23" s="12" t="s">
        <v>235</v>
      </c>
      <c r="D23" s="12" t="s">
        <v>679</v>
      </c>
      <c r="E23" s="23" t="s">
        <v>680</v>
      </c>
      <c r="F23" s="23" t="s">
        <v>681</v>
      </c>
      <c r="G23" s="8" t="s">
        <v>683</v>
      </c>
      <c r="H23" s="8" t="s">
        <v>683</v>
      </c>
      <c r="I23" s="23" t="s">
        <v>680</v>
      </c>
      <c r="J23" s="23" t="s">
        <v>681</v>
      </c>
      <c r="K23" s="8" t="s">
        <v>683</v>
      </c>
      <c r="L23" s="8" t="s">
        <v>683</v>
      </c>
      <c r="M23" s="23" t="s">
        <v>680</v>
      </c>
      <c r="N23" s="23" t="s">
        <v>50</v>
      </c>
      <c r="O23" s="8" t="s">
        <v>110</v>
      </c>
      <c r="P23" s="8" t="s">
        <v>110</v>
      </c>
      <c r="Q23" s="23" t="s">
        <v>680</v>
      </c>
      <c r="R23" s="23" t="s">
        <v>50</v>
      </c>
      <c r="S23" s="8" t="s">
        <v>110</v>
      </c>
      <c r="T23" s="8" t="s">
        <v>110</v>
      </c>
      <c r="U23" s="23" t="s">
        <v>680</v>
      </c>
      <c r="V23" s="23" t="s">
        <v>50</v>
      </c>
      <c r="W23" s="8" t="s">
        <v>110</v>
      </c>
      <c r="X23" s="8" t="s">
        <v>110</v>
      </c>
      <c r="Y23" s="23" t="s">
        <v>680</v>
      </c>
      <c r="Z23" s="23" t="s">
        <v>50</v>
      </c>
      <c r="AA23" s="8" t="s">
        <v>110</v>
      </c>
      <c r="AB23" s="8" t="s">
        <v>110</v>
      </c>
      <c r="AC23" s="12"/>
      <c r="AD23" s="12"/>
    </row>
    <row r="24" spans="1:30" ht="25.5" x14ac:dyDescent="0.25">
      <c r="A24" s="17" t="s">
        <v>240</v>
      </c>
      <c r="B24" s="8" t="s">
        <v>16</v>
      </c>
      <c r="C24" s="12" t="s">
        <v>241</v>
      </c>
      <c r="D24" s="12" t="s">
        <v>679</v>
      </c>
      <c r="E24" s="23" t="s">
        <v>680</v>
      </c>
      <c r="F24" s="23" t="s">
        <v>50</v>
      </c>
      <c r="G24" s="8" t="s">
        <v>110</v>
      </c>
      <c r="H24" s="8" t="s">
        <v>110</v>
      </c>
      <c r="I24" s="23" t="s">
        <v>680</v>
      </c>
      <c r="J24" s="23" t="s">
        <v>50</v>
      </c>
      <c r="K24" s="8" t="s">
        <v>110</v>
      </c>
      <c r="L24" s="8" t="s">
        <v>110</v>
      </c>
      <c r="M24" s="23" t="s">
        <v>680</v>
      </c>
      <c r="N24" s="23" t="s">
        <v>681</v>
      </c>
      <c r="O24" s="8" t="s">
        <v>683</v>
      </c>
      <c r="P24" s="8" t="s">
        <v>110</v>
      </c>
      <c r="Q24" s="23" t="s">
        <v>680</v>
      </c>
      <c r="R24" s="23" t="s">
        <v>681</v>
      </c>
      <c r="S24" s="8" t="s">
        <v>683</v>
      </c>
      <c r="T24" s="8" t="s">
        <v>110</v>
      </c>
      <c r="U24" s="23" t="s">
        <v>680</v>
      </c>
      <c r="V24" s="23" t="s">
        <v>50</v>
      </c>
      <c r="W24" s="8" t="s">
        <v>110</v>
      </c>
      <c r="X24" s="8" t="s">
        <v>110</v>
      </c>
      <c r="Y24" s="23" t="s">
        <v>680</v>
      </c>
      <c r="Z24" s="23" t="s">
        <v>50</v>
      </c>
      <c r="AA24" s="8" t="s">
        <v>110</v>
      </c>
      <c r="AB24" s="8" t="s">
        <v>110</v>
      </c>
      <c r="AC24" s="12"/>
      <c r="AD24" s="12"/>
    </row>
    <row r="25" spans="1:30" ht="25.5" x14ac:dyDescent="0.25">
      <c r="A25" s="17" t="s">
        <v>246</v>
      </c>
      <c r="B25" s="8" t="s">
        <v>16</v>
      </c>
      <c r="C25" s="12" t="s">
        <v>247</v>
      </c>
      <c r="D25" s="12" t="s">
        <v>679</v>
      </c>
      <c r="E25" s="23" t="s">
        <v>680</v>
      </c>
      <c r="F25" s="23" t="s">
        <v>50</v>
      </c>
      <c r="G25" s="8" t="s">
        <v>682</v>
      </c>
      <c r="H25" s="8" t="s">
        <v>683</v>
      </c>
      <c r="I25" s="23" t="s">
        <v>680</v>
      </c>
      <c r="J25" s="23" t="s">
        <v>50</v>
      </c>
      <c r="K25" s="8" t="s">
        <v>682</v>
      </c>
      <c r="L25" s="8" t="s">
        <v>683</v>
      </c>
      <c r="M25" s="23" t="s">
        <v>680</v>
      </c>
      <c r="N25" s="23" t="s">
        <v>681</v>
      </c>
      <c r="O25" s="8" t="s">
        <v>110</v>
      </c>
      <c r="P25" s="8" t="s">
        <v>683</v>
      </c>
      <c r="Q25" s="23" t="s">
        <v>680</v>
      </c>
      <c r="R25" s="23" t="s">
        <v>681</v>
      </c>
      <c r="S25" s="8" t="s">
        <v>110</v>
      </c>
      <c r="T25" s="8" t="s">
        <v>683</v>
      </c>
      <c r="U25" s="23" t="s">
        <v>680</v>
      </c>
      <c r="V25" s="23" t="s">
        <v>681</v>
      </c>
      <c r="W25" s="8" t="s">
        <v>110</v>
      </c>
      <c r="X25" s="8" t="s">
        <v>683</v>
      </c>
      <c r="Y25" s="23" t="s">
        <v>680</v>
      </c>
      <c r="Z25" s="23" t="s">
        <v>681</v>
      </c>
      <c r="AA25" s="8" t="s">
        <v>110</v>
      </c>
      <c r="AB25" s="8" t="s">
        <v>683</v>
      </c>
      <c r="AC25" s="12" t="s">
        <v>693</v>
      </c>
      <c r="AD25" s="12" t="s">
        <v>693</v>
      </c>
    </row>
    <row r="26" spans="1:30" ht="25.5" x14ac:dyDescent="0.25">
      <c r="A26" s="17" t="s">
        <v>253</v>
      </c>
      <c r="B26" s="8" t="s">
        <v>16</v>
      </c>
      <c r="C26" s="12" t="s">
        <v>254</v>
      </c>
      <c r="D26" s="12" t="s">
        <v>679</v>
      </c>
      <c r="E26" s="23" t="s">
        <v>680</v>
      </c>
      <c r="F26" s="23" t="s">
        <v>50</v>
      </c>
      <c r="G26" s="8" t="s">
        <v>682</v>
      </c>
      <c r="H26" s="8" t="s">
        <v>110</v>
      </c>
      <c r="I26" s="23" t="s">
        <v>680</v>
      </c>
      <c r="J26" s="23" t="s">
        <v>50</v>
      </c>
      <c r="K26" s="8" t="s">
        <v>682</v>
      </c>
      <c r="L26" s="8" t="s">
        <v>110</v>
      </c>
      <c r="M26" s="23" t="s">
        <v>680</v>
      </c>
      <c r="N26" s="23" t="s">
        <v>50</v>
      </c>
      <c r="O26" s="8" t="s">
        <v>110</v>
      </c>
      <c r="P26" s="8" t="s">
        <v>110</v>
      </c>
      <c r="Q26" s="23" t="s">
        <v>680</v>
      </c>
      <c r="R26" s="23" t="s">
        <v>50</v>
      </c>
      <c r="S26" s="8" t="s">
        <v>110</v>
      </c>
      <c r="T26" s="8" t="s">
        <v>110</v>
      </c>
      <c r="U26" s="23" t="s">
        <v>691</v>
      </c>
      <c r="V26" s="23" t="s">
        <v>69</v>
      </c>
      <c r="W26" s="8"/>
      <c r="X26" s="8" t="s">
        <v>683</v>
      </c>
      <c r="Y26" s="23" t="s">
        <v>691</v>
      </c>
      <c r="Z26" s="23" t="s">
        <v>69</v>
      </c>
      <c r="AA26" s="8"/>
      <c r="AB26" s="8" t="s">
        <v>683</v>
      </c>
      <c r="AC26" s="12" t="s">
        <v>694</v>
      </c>
      <c r="AD26" s="12" t="s">
        <v>694</v>
      </c>
    </row>
    <row r="27" spans="1:30" ht="25.5" x14ac:dyDescent="0.25">
      <c r="A27" s="17" t="s">
        <v>258</v>
      </c>
      <c r="B27" s="8" t="s">
        <v>16</v>
      </c>
      <c r="C27" s="12" t="s">
        <v>259</v>
      </c>
      <c r="D27" s="12" t="s">
        <v>679</v>
      </c>
      <c r="E27" s="23" t="s">
        <v>680</v>
      </c>
      <c r="F27" s="23" t="s">
        <v>50</v>
      </c>
      <c r="G27" s="8" t="s">
        <v>682</v>
      </c>
      <c r="H27" s="8"/>
      <c r="I27" s="23" t="s">
        <v>680</v>
      </c>
      <c r="J27" s="23" t="s">
        <v>50</v>
      </c>
      <c r="K27" s="8" t="s">
        <v>683</v>
      </c>
      <c r="L27" s="8"/>
      <c r="M27" s="23" t="s">
        <v>680</v>
      </c>
      <c r="N27" s="23" t="s">
        <v>50</v>
      </c>
      <c r="O27" s="8" t="s">
        <v>682</v>
      </c>
      <c r="P27" s="8"/>
      <c r="Q27" s="23" t="s">
        <v>680</v>
      </c>
      <c r="R27" s="23" t="s">
        <v>681</v>
      </c>
      <c r="S27" s="8" t="s">
        <v>683</v>
      </c>
      <c r="T27" s="8"/>
      <c r="U27" s="23" t="s">
        <v>680</v>
      </c>
      <c r="V27" s="23" t="s">
        <v>681</v>
      </c>
      <c r="W27" s="8" t="s">
        <v>683</v>
      </c>
      <c r="X27" s="8"/>
      <c r="Y27" s="23" t="s">
        <v>680</v>
      </c>
      <c r="Z27" s="23" t="s">
        <v>681</v>
      </c>
      <c r="AA27" s="8" t="s">
        <v>683</v>
      </c>
      <c r="AB27" s="8"/>
      <c r="AC27" s="12" t="s">
        <v>695</v>
      </c>
      <c r="AD27" s="12" t="s">
        <v>696</v>
      </c>
    </row>
    <row r="28" spans="1:30" ht="38.25" x14ac:dyDescent="0.25">
      <c r="A28" s="17" t="s">
        <v>264</v>
      </c>
      <c r="B28" s="8" t="s">
        <v>16</v>
      </c>
      <c r="C28" s="12" t="s">
        <v>265</v>
      </c>
      <c r="D28" s="12" t="s">
        <v>679</v>
      </c>
      <c r="E28" s="23" t="s">
        <v>697</v>
      </c>
      <c r="F28" s="23" t="s">
        <v>69</v>
      </c>
      <c r="G28" s="8"/>
      <c r="H28" s="8" t="s">
        <v>683</v>
      </c>
      <c r="I28" s="23" t="s">
        <v>680</v>
      </c>
      <c r="J28" s="23" t="s">
        <v>50</v>
      </c>
      <c r="K28" s="8" t="s">
        <v>683</v>
      </c>
      <c r="L28" s="8" t="s">
        <v>683</v>
      </c>
      <c r="M28" s="23" t="s">
        <v>680</v>
      </c>
      <c r="N28" s="23" t="s">
        <v>50</v>
      </c>
      <c r="O28" s="8" t="s">
        <v>110</v>
      </c>
      <c r="P28" s="8" t="s">
        <v>683</v>
      </c>
      <c r="Q28" s="23" t="s">
        <v>680</v>
      </c>
      <c r="R28" s="23" t="s">
        <v>50</v>
      </c>
      <c r="S28" s="8" t="s">
        <v>110</v>
      </c>
      <c r="T28" s="8" t="s">
        <v>683</v>
      </c>
      <c r="U28" s="23" t="s">
        <v>680</v>
      </c>
      <c r="V28" s="23" t="s">
        <v>50</v>
      </c>
      <c r="W28" s="8" t="s">
        <v>110</v>
      </c>
      <c r="X28" s="8" t="s">
        <v>683</v>
      </c>
      <c r="Y28" s="23" t="s">
        <v>680</v>
      </c>
      <c r="Z28" s="23" t="s">
        <v>50</v>
      </c>
      <c r="AA28" s="8" t="s">
        <v>110</v>
      </c>
      <c r="AB28" s="8" t="s">
        <v>683</v>
      </c>
      <c r="AC28" s="12"/>
      <c r="AD28" s="12"/>
    </row>
    <row r="29" spans="1:30" ht="25.5" x14ac:dyDescent="0.25">
      <c r="A29" s="17" t="s">
        <v>269</v>
      </c>
      <c r="B29" s="8" t="s">
        <v>16</v>
      </c>
      <c r="C29" s="12" t="s">
        <v>270</v>
      </c>
      <c r="D29" s="12" t="s">
        <v>679</v>
      </c>
      <c r="E29" s="23" t="s">
        <v>680</v>
      </c>
      <c r="F29" s="23" t="s">
        <v>50</v>
      </c>
      <c r="G29" s="8" t="s">
        <v>110</v>
      </c>
      <c r="H29" s="8" t="s">
        <v>110</v>
      </c>
      <c r="I29" s="23" t="s">
        <v>680</v>
      </c>
      <c r="J29" s="23" t="s">
        <v>50</v>
      </c>
      <c r="K29" s="8" t="s">
        <v>110</v>
      </c>
      <c r="L29" s="8" t="s">
        <v>110</v>
      </c>
      <c r="M29" s="23" t="s">
        <v>680</v>
      </c>
      <c r="N29" s="23" t="s">
        <v>50</v>
      </c>
      <c r="O29" s="8" t="s">
        <v>110</v>
      </c>
      <c r="P29" s="8" t="s">
        <v>110</v>
      </c>
      <c r="Q29" s="23" t="s">
        <v>680</v>
      </c>
      <c r="R29" s="23" t="s">
        <v>50</v>
      </c>
      <c r="S29" s="8" t="s">
        <v>110</v>
      </c>
      <c r="T29" s="8" t="s">
        <v>110</v>
      </c>
      <c r="U29" s="23" t="s">
        <v>680</v>
      </c>
      <c r="V29" s="23" t="s">
        <v>50</v>
      </c>
      <c r="W29" s="8" t="s">
        <v>110</v>
      </c>
      <c r="X29" s="8" t="s">
        <v>110</v>
      </c>
      <c r="Y29" s="23" t="s">
        <v>680</v>
      </c>
      <c r="Z29" s="23" t="s">
        <v>50</v>
      </c>
      <c r="AA29" s="8" t="s">
        <v>110</v>
      </c>
      <c r="AB29" s="8" t="s">
        <v>110</v>
      </c>
      <c r="AC29" s="12"/>
      <c r="AD29" s="12"/>
    </row>
    <row r="30" spans="1:30" ht="25.5" x14ac:dyDescent="0.25">
      <c r="A30" s="17" t="s">
        <v>276</v>
      </c>
      <c r="B30" s="8" t="s">
        <v>16</v>
      </c>
      <c r="C30" s="12" t="s">
        <v>277</v>
      </c>
      <c r="D30" s="12" t="s">
        <v>679</v>
      </c>
      <c r="E30" s="23" t="s">
        <v>680</v>
      </c>
      <c r="F30" s="23" t="s">
        <v>681</v>
      </c>
      <c r="G30" s="8" t="s">
        <v>683</v>
      </c>
      <c r="H30" s="8" t="s">
        <v>683</v>
      </c>
      <c r="I30" s="23" t="s">
        <v>680</v>
      </c>
      <c r="J30" s="23" t="s">
        <v>681</v>
      </c>
      <c r="K30" s="8" t="s">
        <v>683</v>
      </c>
      <c r="L30" s="8" t="s">
        <v>683</v>
      </c>
      <c r="M30" s="23" t="s">
        <v>697</v>
      </c>
      <c r="N30" s="23" t="s">
        <v>68</v>
      </c>
      <c r="O30" s="8"/>
      <c r="P30" s="8" t="s">
        <v>683</v>
      </c>
      <c r="Q30" s="23" t="s">
        <v>680</v>
      </c>
      <c r="R30" s="23" t="s">
        <v>50</v>
      </c>
      <c r="S30" s="8" t="s">
        <v>110</v>
      </c>
      <c r="T30" s="8" t="s">
        <v>110</v>
      </c>
      <c r="U30" s="23" t="s">
        <v>680</v>
      </c>
      <c r="V30" s="23" t="s">
        <v>50</v>
      </c>
      <c r="W30" s="8" t="s">
        <v>110</v>
      </c>
      <c r="X30" s="8" t="s">
        <v>110</v>
      </c>
      <c r="Y30" s="23" t="s">
        <v>680</v>
      </c>
      <c r="Z30" s="23" t="s">
        <v>50</v>
      </c>
      <c r="AA30" s="8" t="s">
        <v>110</v>
      </c>
      <c r="AB30" s="8" t="s">
        <v>110</v>
      </c>
      <c r="AC30" s="12"/>
      <c r="AD30" s="12"/>
    </row>
    <row r="31" spans="1:30" ht="25.5" x14ac:dyDescent="0.25">
      <c r="A31" s="17" t="s">
        <v>283</v>
      </c>
      <c r="B31" s="8" t="s">
        <v>16</v>
      </c>
      <c r="C31" s="12" t="s">
        <v>284</v>
      </c>
      <c r="D31" s="12" t="s">
        <v>679</v>
      </c>
      <c r="E31" s="23" t="s">
        <v>680</v>
      </c>
      <c r="F31" s="23" t="s">
        <v>50</v>
      </c>
      <c r="G31" s="8" t="s">
        <v>110</v>
      </c>
      <c r="H31" s="8" t="s">
        <v>110</v>
      </c>
      <c r="I31" s="23" t="s">
        <v>680</v>
      </c>
      <c r="J31" s="23" t="s">
        <v>50</v>
      </c>
      <c r="K31" s="8" t="s">
        <v>110</v>
      </c>
      <c r="L31" s="8" t="s">
        <v>110</v>
      </c>
      <c r="M31" s="23" t="s">
        <v>680</v>
      </c>
      <c r="N31" s="23" t="s">
        <v>681</v>
      </c>
      <c r="O31" s="8" t="s">
        <v>683</v>
      </c>
      <c r="P31" s="8" t="s">
        <v>683</v>
      </c>
      <c r="Q31" s="23" t="s">
        <v>680</v>
      </c>
      <c r="R31" s="23" t="s">
        <v>50</v>
      </c>
      <c r="S31" s="8" t="s">
        <v>110</v>
      </c>
      <c r="T31" s="8" t="s">
        <v>110</v>
      </c>
      <c r="U31" s="23" t="s">
        <v>680</v>
      </c>
      <c r="V31" s="23" t="s">
        <v>50</v>
      </c>
      <c r="W31" s="8" t="s">
        <v>110</v>
      </c>
      <c r="X31" s="8" t="s">
        <v>110</v>
      </c>
      <c r="Y31" s="23" t="s">
        <v>680</v>
      </c>
      <c r="Z31" s="23" t="s">
        <v>50</v>
      </c>
      <c r="AA31" s="8" t="s">
        <v>110</v>
      </c>
      <c r="AB31" s="8" t="s">
        <v>110</v>
      </c>
      <c r="AC31" s="12"/>
      <c r="AD31" s="12"/>
    </row>
    <row r="32" spans="1:30" ht="25.5" x14ac:dyDescent="0.25">
      <c r="A32" s="17" t="s">
        <v>289</v>
      </c>
      <c r="B32" s="8" t="s">
        <v>16</v>
      </c>
      <c r="C32" s="12" t="s">
        <v>290</v>
      </c>
      <c r="D32" s="12" t="s">
        <v>679</v>
      </c>
      <c r="E32" s="23" t="s">
        <v>680</v>
      </c>
      <c r="F32" s="23" t="s">
        <v>50</v>
      </c>
      <c r="G32" s="8" t="s">
        <v>110</v>
      </c>
      <c r="H32" s="8"/>
      <c r="I32" s="23" t="s">
        <v>680</v>
      </c>
      <c r="J32" s="23" t="s">
        <v>50</v>
      </c>
      <c r="K32" s="8" t="s">
        <v>110</v>
      </c>
      <c r="L32" s="8"/>
      <c r="M32" s="23" t="s">
        <v>692</v>
      </c>
      <c r="N32" s="23" t="s">
        <v>69</v>
      </c>
      <c r="O32" s="8"/>
      <c r="P32" s="8"/>
      <c r="Q32" s="23" t="s">
        <v>680</v>
      </c>
      <c r="R32" s="23" t="s">
        <v>50</v>
      </c>
      <c r="S32" s="8" t="s">
        <v>110</v>
      </c>
      <c r="T32" s="8"/>
      <c r="U32" s="23" t="s">
        <v>680</v>
      </c>
      <c r="V32" s="23" t="s">
        <v>50</v>
      </c>
      <c r="W32" s="8" t="s">
        <v>110</v>
      </c>
      <c r="X32" s="8"/>
      <c r="Y32" s="23" t="s">
        <v>680</v>
      </c>
      <c r="Z32" s="23" t="s">
        <v>50</v>
      </c>
      <c r="AA32" s="8" t="s">
        <v>110</v>
      </c>
      <c r="AB32" s="8"/>
      <c r="AC32" s="12"/>
      <c r="AD32" s="12"/>
    </row>
    <row r="33" spans="1:30" ht="25.5" x14ac:dyDescent="0.25">
      <c r="A33" s="17" t="s">
        <v>294</v>
      </c>
      <c r="B33" s="8" t="s">
        <v>16</v>
      </c>
      <c r="C33" s="12" t="s">
        <v>295</v>
      </c>
      <c r="D33" s="12" t="s">
        <v>679</v>
      </c>
      <c r="E33" s="23" t="s">
        <v>680</v>
      </c>
      <c r="F33" s="23" t="s">
        <v>681</v>
      </c>
      <c r="G33" s="8" t="s">
        <v>110</v>
      </c>
      <c r="H33" s="8" t="s">
        <v>683</v>
      </c>
      <c r="I33" s="23" t="s">
        <v>680</v>
      </c>
      <c r="J33" s="23" t="s">
        <v>50</v>
      </c>
      <c r="K33" s="8" t="s">
        <v>683</v>
      </c>
      <c r="L33" s="8" t="s">
        <v>110</v>
      </c>
      <c r="M33" s="23" t="s">
        <v>680</v>
      </c>
      <c r="N33" s="23" t="s">
        <v>681</v>
      </c>
      <c r="O33" s="8" t="s">
        <v>683</v>
      </c>
      <c r="P33" s="8" t="s">
        <v>110</v>
      </c>
      <c r="Q33" s="23" t="s">
        <v>680</v>
      </c>
      <c r="R33" s="23" t="s">
        <v>681</v>
      </c>
      <c r="S33" s="8" t="s">
        <v>110</v>
      </c>
      <c r="T33" s="8" t="s">
        <v>110</v>
      </c>
      <c r="U33" s="23" t="s">
        <v>680</v>
      </c>
      <c r="V33" s="23" t="s">
        <v>50</v>
      </c>
      <c r="W33" s="8" t="s">
        <v>110</v>
      </c>
      <c r="X33" s="8" t="s">
        <v>110</v>
      </c>
      <c r="Y33" s="23" t="s">
        <v>680</v>
      </c>
      <c r="Z33" s="23" t="s">
        <v>50</v>
      </c>
      <c r="AA33" s="8" t="s">
        <v>683</v>
      </c>
      <c r="AB33" s="8" t="s">
        <v>110</v>
      </c>
      <c r="AC33" s="12"/>
      <c r="AD33" s="12" t="s">
        <v>698</v>
      </c>
    </row>
    <row r="34" spans="1:30" ht="25.5" x14ac:dyDescent="0.25">
      <c r="A34" s="17" t="s">
        <v>300</v>
      </c>
      <c r="B34" s="8" t="s">
        <v>16</v>
      </c>
      <c r="C34" s="12" t="s">
        <v>301</v>
      </c>
      <c r="D34" s="12" t="s">
        <v>679</v>
      </c>
      <c r="E34" s="23" t="s">
        <v>680</v>
      </c>
      <c r="F34" s="23" t="s">
        <v>681</v>
      </c>
      <c r="G34" s="8" t="s">
        <v>683</v>
      </c>
      <c r="H34" s="8" t="s">
        <v>683</v>
      </c>
      <c r="I34" s="23" t="s">
        <v>680</v>
      </c>
      <c r="J34" s="23" t="s">
        <v>50</v>
      </c>
      <c r="K34" s="8" t="s">
        <v>682</v>
      </c>
      <c r="L34" s="8" t="s">
        <v>110</v>
      </c>
      <c r="M34" s="23" t="s">
        <v>680</v>
      </c>
      <c r="N34" s="23" t="s">
        <v>681</v>
      </c>
      <c r="O34" s="8" t="s">
        <v>683</v>
      </c>
      <c r="P34" s="8" t="s">
        <v>683</v>
      </c>
      <c r="Q34" s="23" t="s">
        <v>680</v>
      </c>
      <c r="R34" s="23" t="s">
        <v>681</v>
      </c>
      <c r="S34" s="8" t="s">
        <v>110</v>
      </c>
      <c r="T34" s="8" t="s">
        <v>683</v>
      </c>
      <c r="U34" s="23" t="s">
        <v>680</v>
      </c>
      <c r="V34" s="23" t="s">
        <v>681</v>
      </c>
      <c r="W34" s="8" t="s">
        <v>683</v>
      </c>
      <c r="X34" s="8" t="s">
        <v>683</v>
      </c>
      <c r="Y34" s="23" t="s">
        <v>697</v>
      </c>
      <c r="Z34" s="23" t="s">
        <v>68</v>
      </c>
      <c r="AA34" s="8"/>
      <c r="AB34" s="8" t="s">
        <v>683</v>
      </c>
      <c r="AC34" s="12" t="s">
        <v>699</v>
      </c>
      <c r="AD34" s="12" t="s">
        <v>700</v>
      </c>
    </row>
    <row r="35" spans="1:30" ht="25.5" x14ac:dyDescent="0.25">
      <c r="A35" s="17" t="s">
        <v>306</v>
      </c>
      <c r="B35" s="8" t="s">
        <v>16</v>
      </c>
      <c r="C35" s="12" t="s">
        <v>307</v>
      </c>
      <c r="D35" s="12" t="s">
        <v>679</v>
      </c>
      <c r="E35" s="23" t="s">
        <v>680</v>
      </c>
      <c r="F35" s="23" t="s">
        <v>50</v>
      </c>
      <c r="G35" s="8" t="s">
        <v>110</v>
      </c>
      <c r="H35" s="8"/>
      <c r="I35" s="23" t="s">
        <v>680</v>
      </c>
      <c r="J35" s="23" t="s">
        <v>50</v>
      </c>
      <c r="K35" s="8" t="s">
        <v>110</v>
      </c>
      <c r="L35" s="8"/>
      <c r="M35" s="23" t="s">
        <v>680</v>
      </c>
      <c r="N35" s="23" t="s">
        <v>50</v>
      </c>
      <c r="O35" s="8" t="s">
        <v>110</v>
      </c>
      <c r="P35" s="8"/>
      <c r="Q35" s="23" t="s">
        <v>680</v>
      </c>
      <c r="R35" s="23" t="s">
        <v>50</v>
      </c>
      <c r="S35" s="8" t="s">
        <v>110</v>
      </c>
      <c r="T35" s="8"/>
      <c r="U35" s="23" t="s">
        <v>680</v>
      </c>
      <c r="V35" s="23" t="s">
        <v>50</v>
      </c>
      <c r="W35" s="8" t="s">
        <v>110</v>
      </c>
      <c r="X35" s="8"/>
      <c r="Y35" s="23" t="s">
        <v>680</v>
      </c>
      <c r="Z35" s="23" t="s">
        <v>50</v>
      </c>
      <c r="AA35" s="8" t="s">
        <v>110</v>
      </c>
      <c r="AB35" s="8"/>
      <c r="AC35" s="12"/>
      <c r="AD35" s="12"/>
    </row>
    <row r="36" spans="1:30" ht="25.5" x14ac:dyDescent="0.25">
      <c r="A36" s="17" t="s">
        <v>311</v>
      </c>
      <c r="B36" s="8" t="s">
        <v>16</v>
      </c>
      <c r="C36" s="12" t="s">
        <v>312</v>
      </c>
      <c r="D36" s="12" t="s">
        <v>679</v>
      </c>
      <c r="E36" s="23" t="s">
        <v>680</v>
      </c>
      <c r="F36" s="23" t="s">
        <v>681</v>
      </c>
      <c r="G36" s="8" t="s">
        <v>683</v>
      </c>
      <c r="H36" s="8" t="s">
        <v>683</v>
      </c>
      <c r="I36" s="23" t="s">
        <v>697</v>
      </c>
      <c r="J36" s="23" t="s">
        <v>68</v>
      </c>
      <c r="K36" s="8"/>
      <c r="L36" s="8" t="s">
        <v>683</v>
      </c>
      <c r="M36" s="23" t="s">
        <v>697</v>
      </c>
      <c r="N36" s="23" t="s">
        <v>69</v>
      </c>
      <c r="O36" s="8"/>
      <c r="P36" s="8" t="s">
        <v>683</v>
      </c>
      <c r="Q36" s="23" t="s">
        <v>697</v>
      </c>
      <c r="R36" s="23" t="s">
        <v>69</v>
      </c>
      <c r="S36" s="8"/>
      <c r="T36" s="8" t="s">
        <v>683</v>
      </c>
      <c r="U36" s="23" t="s">
        <v>697</v>
      </c>
      <c r="V36" s="23" t="s">
        <v>69</v>
      </c>
      <c r="W36" s="8"/>
      <c r="X36" s="8" t="s">
        <v>683</v>
      </c>
      <c r="Y36" s="23" t="s">
        <v>697</v>
      </c>
      <c r="Z36" s="23" t="s">
        <v>69</v>
      </c>
      <c r="AA36" s="8"/>
      <c r="AB36" s="8" t="s">
        <v>683</v>
      </c>
      <c r="AC36" s="12" t="s">
        <v>701</v>
      </c>
      <c r="AD36" s="12" t="s">
        <v>701</v>
      </c>
    </row>
    <row r="37" spans="1:30" ht="25.5" x14ac:dyDescent="0.25">
      <c r="A37" s="17" t="s">
        <v>317</v>
      </c>
      <c r="B37" s="8" t="s">
        <v>16</v>
      </c>
      <c r="C37" s="12" t="s">
        <v>318</v>
      </c>
      <c r="D37" s="12" t="s">
        <v>679</v>
      </c>
      <c r="E37" s="23" t="s">
        <v>680</v>
      </c>
      <c r="F37" s="23" t="s">
        <v>50</v>
      </c>
      <c r="G37" s="8" t="s">
        <v>110</v>
      </c>
      <c r="H37" s="8"/>
      <c r="I37" s="23" t="s">
        <v>680</v>
      </c>
      <c r="J37" s="23" t="s">
        <v>50</v>
      </c>
      <c r="K37" s="8" t="s">
        <v>110</v>
      </c>
      <c r="L37" s="8"/>
      <c r="M37" s="23" t="s">
        <v>680</v>
      </c>
      <c r="N37" s="23" t="s">
        <v>681</v>
      </c>
      <c r="O37" s="8" t="s">
        <v>683</v>
      </c>
      <c r="P37" s="8"/>
      <c r="Q37" s="23" t="s">
        <v>680</v>
      </c>
      <c r="R37" s="23" t="s">
        <v>50</v>
      </c>
      <c r="S37" s="8" t="s">
        <v>110</v>
      </c>
      <c r="T37" s="8"/>
      <c r="U37" s="23" t="s">
        <v>680</v>
      </c>
      <c r="V37" s="23" t="s">
        <v>50</v>
      </c>
      <c r="W37" s="8" t="s">
        <v>110</v>
      </c>
      <c r="X37" s="8"/>
      <c r="Y37" s="23" t="s">
        <v>680</v>
      </c>
      <c r="Z37" s="23" t="s">
        <v>50</v>
      </c>
      <c r="AA37" s="8" t="s">
        <v>110</v>
      </c>
      <c r="AB37" s="8"/>
      <c r="AC37" s="12"/>
      <c r="AD37" s="12"/>
    </row>
    <row r="38" spans="1:30" ht="38.25" x14ac:dyDescent="0.25">
      <c r="A38" s="17" t="s">
        <v>323</v>
      </c>
      <c r="B38" s="8" t="s">
        <v>16</v>
      </c>
      <c r="C38" s="12" t="s">
        <v>324</v>
      </c>
      <c r="D38" s="12" t="s">
        <v>679</v>
      </c>
      <c r="E38" s="23" t="s">
        <v>680</v>
      </c>
      <c r="F38" s="23" t="s">
        <v>50</v>
      </c>
      <c r="G38" s="8" t="s">
        <v>110</v>
      </c>
      <c r="H38" s="8" t="s">
        <v>683</v>
      </c>
      <c r="I38" s="23" t="s">
        <v>680</v>
      </c>
      <c r="J38" s="23" t="s">
        <v>50</v>
      </c>
      <c r="K38" s="8" t="s">
        <v>682</v>
      </c>
      <c r="L38" s="8" t="s">
        <v>110</v>
      </c>
      <c r="M38" s="23" t="s">
        <v>680</v>
      </c>
      <c r="N38" s="23" t="s">
        <v>50</v>
      </c>
      <c r="O38" s="8" t="s">
        <v>110</v>
      </c>
      <c r="P38" s="8" t="s">
        <v>110</v>
      </c>
      <c r="Q38" s="23" t="s">
        <v>680</v>
      </c>
      <c r="R38" s="23" t="s">
        <v>50</v>
      </c>
      <c r="S38" s="8" t="s">
        <v>110</v>
      </c>
      <c r="T38" s="8" t="s">
        <v>110</v>
      </c>
      <c r="U38" s="23" t="s">
        <v>680</v>
      </c>
      <c r="V38" s="23" t="s">
        <v>50</v>
      </c>
      <c r="W38" s="8" t="s">
        <v>110</v>
      </c>
      <c r="X38" s="8" t="s">
        <v>110</v>
      </c>
      <c r="Y38" s="23" t="s">
        <v>680</v>
      </c>
      <c r="Z38" s="23" t="s">
        <v>50</v>
      </c>
      <c r="AA38" s="8" t="s">
        <v>110</v>
      </c>
      <c r="AB38" s="8" t="s">
        <v>110</v>
      </c>
      <c r="AC38" s="12"/>
      <c r="AD38" s="12"/>
    </row>
    <row r="39" spans="1:30" ht="25.5" x14ac:dyDescent="0.25">
      <c r="A39" s="17" t="s">
        <v>331</v>
      </c>
      <c r="B39" s="8" t="s">
        <v>16</v>
      </c>
      <c r="C39" s="12" t="s">
        <v>332</v>
      </c>
      <c r="D39" s="12" t="s">
        <v>679</v>
      </c>
      <c r="E39" s="23" t="s">
        <v>680</v>
      </c>
      <c r="F39" s="23" t="s">
        <v>50</v>
      </c>
      <c r="G39" s="8" t="s">
        <v>110</v>
      </c>
      <c r="H39" s="8" t="s">
        <v>110</v>
      </c>
      <c r="I39" s="23" t="s">
        <v>680</v>
      </c>
      <c r="J39" s="23" t="s">
        <v>50</v>
      </c>
      <c r="K39" s="8" t="s">
        <v>682</v>
      </c>
      <c r="L39" s="8" t="s">
        <v>110</v>
      </c>
      <c r="M39" s="23" t="s">
        <v>680</v>
      </c>
      <c r="N39" s="23" t="s">
        <v>50</v>
      </c>
      <c r="O39" s="8" t="s">
        <v>110</v>
      </c>
      <c r="P39" s="8" t="s">
        <v>110</v>
      </c>
      <c r="Q39" s="23" t="s">
        <v>680</v>
      </c>
      <c r="R39" s="23" t="s">
        <v>50</v>
      </c>
      <c r="S39" s="8" t="s">
        <v>110</v>
      </c>
      <c r="T39" s="8" t="s">
        <v>110</v>
      </c>
      <c r="U39" s="23" t="s">
        <v>680</v>
      </c>
      <c r="V39" s="23" t="s">
        <v>50</v>
      </c>
      <c r="W39" s="8" t="s">
        <v>110</v>
      </c>
      <c r="X39" s="8" t="s">
        <v>110</v>
      </c>
      <c r="Y39" s="23" t="s">
        <v>680</v>
      </c>
      <c r="Z39" s="23" t="s">
        <v>50</v>
      </c>
      <c r="AA39" s="8" t="s">
        <v>110</v>
      </c>
      <c r="AB39" s="8" t="s">
        <v>110</v>
      </c>
      <c r="AC39" s="12"/>
      <c r="AD39" s="12"/>
    </row>
    <row r="40" spans="1:30" ht="38.25" x14ac:dyDescent="0.25">
      <c r="A40" s="17" t="s">
        <v>338</v>
      </c>
      <c r="B40" s="8" t="s">
        <v>18</v>
      </c>
      <c r="C40" s="12" t="s">
        <v>339</v>
      </c>
      <c r="D40" s="12" t="s">
        <v>679</v>
      </c>
      <c r="E40" s="23" t="s">
        <v>680</v>
      </c>
      <c r="F40" s="23" t="s">
        <v>681</v>
      </c>
      <c r="G40" s="8" t="s">
        <v>683</v>
      </c>
      <c r="H40" s="8" t="s">
        <v>683</v>
      </c>
      <c r="I40" s="23" t="s">
        <v>680</v>
      </c>
      <c r="J40" s="23" t="s">
        <v>50</v>
      </c>
      <c r="K40" s="8" t="s">
        <v>682</v>
      </c>
      <c r="L40" s="8" t="s">
        <v>110</v>
      </c>
      <c r="M40" s="23" t="s">
        <v>680</v>
      </c>
      <c r="N40" s="23" t="s">
        <v>681</v>
      </c>
      <c r="O40" s="8" t="s">
        <v>683</v>
      </c>
      <c r="P40" s="8" t="s">
        <v>683</v>
      </c>
      <c r="Q40" s="23" t="s">
        <v>680</v>
      </c>
      <c r="R40" s="23" t="s">
        <v>50</v>
      </c>
      <c r="S40" s="8" t="s">
        <v>110</v>
      </c>
      <c r="T40" s="8" t="s">
        <v>110</v>
      </c>
      <c r="U40" s="23" t="s">
        <v>680</v>
      </c>
      <c r="V40" s="23" t="s">
        <v>50</v>
      </c>
      <c r="W40" s="8" t="s">
        <v>110</v>
      </c>
      <c r="X40" s="8" t="s">
        <v>110</v>
      </c>
      <c r="Y40" s="23" t="s">
        <v>680</v>
      </c>
      <c r="Z40" s="23" t="s">
        <v>681</v>
      </c>
      <c r="AA40" s="8" t="s">
        <v>683</v>
      </c>
      <c r="AB40" s="8" t="s">
        <v>683</v>
      </c>
      <c r="AC40" s="12"/>
      <c r="AD40" s="12" t="s">
        <v>702</v>
      </c>
    </row>
    <row r="41" spans="1:30" ht="25.5" x14ac:dyDescent="0.25">
      <c r="A41" s="17" t="s">
        <v>343</v>
      </c>
      <c r="B41" s="8" t="s">
        <v>18</v>
      </c>
      <c r="C41" s="12" t="s">
        <v>344</v>
      </c>
      <c r="D41" s="12" t="s">
        <v>679</v>
      </c>
      <c r="E41" s="23" t="s">
        <v>680</v>
      </c>
      <c r="F41" s="23" t="s">
        <v>50</v>
      </c>
      <c r="G41" s="8" t="s">
        <v>110</v>
      </c>
      <c r="H41" s="8" t="s">
        <v>110</v>
      </c>
      <c r="I41" s="23" t="s">
        <v>680</v>
      </c>
      <c r="J41" s="23" t="s">
        <v>50</v>
      </c>
      <c r="K41" s="8" t="s">
        <v>110</v>
      </c>
      <c r="L41" s="8" t="s">
        <v>110</v>
      </c>
      <c r="M41" s="23" t="s">
        <v>680</v>
      </c>
      <c r="N41" s="23" t="s">
        <v>50</v>
      </c>
      <c r="O41" s="8" t="s">
        <v>110</v>
      </c>
      <c r="P41" s="8" t="s">
        <v>110</v>
      </c>
      <c r="Q41" s="23" t="s">
        <v>680</v>
      </c>
      <c r="R41" s="23" t="s">
        <v>50</v>
      </c>
      <c r="S41" s="8" t="s">
        <v>110</v>
      </c>
      <c r="T41" s="8" t="s">
        <v>110</v>
      </c>
      <c r="U41" s="23" t="s">
        <v>680</v>
      </c>
      <c r="V41" s="23" t="s">
        <v>50</v>
      </c>
      <c r="W41" s="8" t="s">
        <v>110</v>
      </c>
      <c r="X41" s="8" t="s">
        <v>110</v>
      </c>
      <c r="Y41" s="23" t="s">
        <v>680</v>
      </c>
      <c r="Z41" s="23" t="s">
        <v>50</v>
      </c>
      <c r="AA41" s="8" t="s">
        <v>110</v>
      </c>
      <c r="AB41" s="8" t="s">
        <v>110</v>
      </c>
      <c r="AC41" s="12"/>
      <c r="AD41" s="12"/>
    </row>
    <row r="42" spans="1:30" ht="51" x14ac:dyDescent="0.25">
      <c r="A42" s="17" t="s">
        <v>350</v>
      </c>
      <c r="B42" s="8" t="s">
        <v>18</v>
      </c>
      <c r="C42" s="12" t="s">
        <v>351</v>
      </c>
      <c r="D42" s="12" t="s">
        <v>679</v>
      </c>
      <c r="E42" s="23" t="s">
        <v>680</v>
      </c>
      <c r="F42" s="23" t="s">
        <v>681</v>
      </c>
      <c r="G42" s="8" t="s">
        <v>683</v>
      </c>
      <c r="H42" s="8"/>
      <c r="I42" s="23" t="s">
        <v>680</v>
      </c>
      <c r="J42" s="23" t="s">
        <v>50</v>
      </c>
      <c r="K42" s="8" t="s">
        <v>110</v>
      </c>
      <c r="L42" s="8"/>
      <c r="M42" s="23" t="s">
        <v>680</v>
      </c>
      <c r="N42" s="23" t="s">
        <v>50</v>
      </c>
      <c r="O42" s="8" t="s">
        <v>110</v>
      </c>
      <c r="P42" s="8"/>
      <c r="Q42" s="23" t="s">
        <v>680</v>
      </c>
      <c r="R42" s="23" t="s">
        <v>50</v>
      </c>
      <c r="S42" s="8" t="s">
        <v>110</v>
      </c>
      <c r="T42" s="8"/>
      <c r="U42" s="23" t="s">
        <v>680</v>
      </c>
      <c r="V42" s="23" t="s">
        <v>50</v>
      </c>
      <c r="W42" s="8" t="s">
        <v>110</v>
      </c>
      <c r="X42" s="8"/>
      <c r="Y42" s="23" t="s">
        <v>680</v>
      </c>
      <c r="Z42" s="23" t="s">
        <v>50</v>
      </c>
      <c r="AA42" s="8" t="s">
        <v>110</v>
      </c>
      <c r="AB42" s="8"/>
      <c r="AC42" s="12"/>
      <c r="AD42" s="12"/>
    </row>
    <row r="43" spans="1:30" ht="38.25" x14ac:dyDescent="0.25">
      <c r="A43" s="17" t="s">
        <v>355</v>
      </c>
      <c r="B43" s="8" t="s">
        <v>18</v>
      </c>
      <c r="C43" s="12" t="s">
        <v>356</v>
      </c>
      <c r="D43" s="12" t="s">
        <v>679</v>
      </c>
      <c r="E43" s="23" t="s">
        <v>680</v>
      </c>
      <c r="F43" s="23" t="s">
        <v>50</v>
      </c>
      <c r="G43" s="8" t="s">
        <v>683</v>
      </c>
      <c r="H43" s="8" t="s">
        <v>110</v>
      </c>
      <c r="I43" s="23" t="s">
        <v>680</v>
      </c>
      <c r="J43" s="23" t="s">
        <v>50</v>
      </c>
      <c r="K43" s="8" t="s">
        <v>683</v>
      </c>
      <c r="L43" s="8" t="s">
        <v>110</v>
      </c>
      <c r="M43" s="23" t="s">
        <v>680</v>
      </c>
      <c r="N43" s="23" t="s">
        <v>681</v>
      </c>
      <c r="O43" s="8" t="s">
        <v>683</v>
      </c>
      <c r="P43" s="8" t="s">
        <v>683</v>
      </c>
      <c r="Q43" s="23" t="s">
        <v>680</v>
      </c>
      <c r="R43" s="23" t="s">
        <v>50</v>
      </c>
      <c r="S43" s="8" t="s">
        <v>683</v>
      </c>
      <c r="T43" s="8" t="s">
        <v>110</v>
      </c>
      <c r="U43" s="23" t="s">
        <v>680</v>
      </c>
      <c r="V43" s="23" t="s">
        <v>50</v>
      </c>
      <c r="W43" s="8" t="s">
        <v>683</v>
      </c>
      <c r="X43" s="8" t="s">
        <v>110</v>
      </c>
      <c r="Y43" s="23" t="s">
        <v>680</v>
      </c>
      <c r="Z43" s="23" t="s">
        <v>50</v>
      </c>
      <c r="AA43" s="8" t="s">
        <v>683</v>
      </c>
      <c r="AB43" s="8" t="s">
        <v>110</v>
      </c>
      <c r="AC43" s="12" t="s">
        <v>703</v>
      </c>
      <c r="AD43" s="12" t="s">
        <v>703</v>
      </c>
    </row>
    <row r="44" spans="1:30" ht="38.25" x14ac:dyDescent="0.25">
      <c r="A44" s="17" t="s">
        <v>361</v>
      </c>
      <c r="B44" s="8" t="s">
        <v>18</v>
      </c>
      <c r="C44" s="12" t="s">
        <v>362</v>
      </c>
      <c r="D44" s="12" t="s">
        <v>679</v>
      </c>
      <c r="E44" s="23" t="s">
        <v>697</v>
      </c>
      <c r="F44" s="23" t="s">
        <v>67</v>
      </c>
      <c r="G44" s="8"/>
      <c r="H44" s="8" t="s">
        <v>683</v>
      </c>
      <c r="I44" s="23" t="s">
        <v>692</v>
      </c>
      <c r="J44" s="23" t="s">
        <v>67</v>
      </c>
      <c r="K44" s="8"/>
      <c r="L44" s="8" t="s">
        <v>683</v>
      </c>
      <c r="M44" s="23" t="s">
        <v>680</v>
      </c>
      <c r="N44" s="23" t="s">
        <v>681</v>
      </c>
      <c r="O44" s="8" t="s">
        <v>683</v>
      </c>
      <c r="P44" s="8" t="s">
        <v>683</v>
      </c>
      <c r="Q44" s="23" t="s">
        <v>680</v>
      </c>
      <c r="R44" s="23" t="s">
        <v>681</v>
      </c>
      <c r="S44" s="8" t="s">
        <v>683</v>
      </c>
      <c r="T44" s="8" t="s">
        <v>683</v>
      </c>
      <c r="U44" s="23" t="s">
        <v>680</v>
      </c>
      <c r="V44" s="23" t="s">
        <v>681</v>
      </c>
      <c r="W44" s="8" t="s">
        <v>683</v>
      </c>
      <c r="X44" s="8" t="s">
        <v>683</v>
      </c>
      <c r="Y44" s="23" t="s">
        <v>680</v>
      </c>
      <c r="Z44" s="23" t="s">
        <v>681</v>
      </c>
      <c r="AA44" s="8" t="s">
        <v>683</v>
      </c>
      <c r="AB44" s="8" t="s">
        <v>683</v>
      </c>
      <c r="AC44" s="12" t="s">
        <v>704</v>
      </c>
      <c r="AD44" s="12" t="s">
        <v>704</v>
      </c>
    </row>
    <row r="45" spans="1:30" ht="25.5" x14ac:dyDescent="0.25">
      <c r="A45" s="17" t="s">
        <v>367</v>
      </c>
      <c r="B45" s="8" t="s">
        <v>18</v>
      </c>
      <c r="C45" s="12" t="s">
        <v>368</v>
      </c>
      <c r="D45" s="12" t="s">
        <v>679</v>
      </c>
      <c r="E45" s="23" t="s">
        <v>680</v>
      </c>
      <c r="F45" s="23" t="s">
        <v>681</v>
      </c>
      <c r="G45" s="8" t="s">
        <v>683</v>
      </c>
      <c r="H45" s="8" t="s">
        <v>683</v>
      </c>
      <c r="I45" s="23" t="s">
        <v>680</v>
      </c>
      <c r="J45" s="23" t="s">
        <v>681</v>
      </c>
      <c r="K45" s="8" t="s">
        <v>682</v>
      </c>
      <c r="L45" s="8" t="s">
        <v>110</v>
      </c>
      <c r="M45" s="23" t="s">
        <v>680</v>
      </c>
      <c r="N45" s="23" t="s">
        <v>681</v>
      </c>
      <c r="O45" s="8" t="s">
        <v>683</v>
      </c>
      <c r="P45" s="8" t="s">
        <v>683</v>
      </c>
      <c r="Q45" s="23" t="s">
        <v>680</v>
      </c>
      <c r="R45" s="23" t="s">
        <v>681</v>
      </c>
      <c r="S45" s="8" t="s">
        <v>110</v>
      </c>
      <c r="T45" s="8" t="s">
        <v>110</v>
      </c>
      <c r="U45" s="23" t="s">
        <v>680</v>
      </c>
      <c r="V45" s="23" t="s">
        <v>681</v>
      </c>
      <c r="W45" s="8" t="s">
        <v>683</v>
      </c>
      <c r="X45" s="8" t="s">
        <v>110</v>
      </c>
      <c r="Y45" s="23" t="s">
        <v>680</v>
      </c>
      <c r="Z45" s="23" t="s">
        <v>681</v>
      </c>
      <c r="AA45" s="8" t="s">
        <v>683</v>
      </c>
      <c r="AB45" s="8" t="s">
        <v>110</v>
      </c>
      <c r="AC45" s="12" t="s">
        <v>705</v>
      </c>
      <c r="AD45" s="12" t="s">
        <v>705</v>
      </c>
    </row>
    <row r="46" spans="1:30" ht="38.25" x14ac:dyDescent="0.25">
      <c r="A46" s="17" t="s">
        <v>373</v>
      </c>
      <c r="B46" s="8" t="s">
        <v>18</v>
      </c>
      <c r="C46" s="12" t="s">
        <v>374</v>
      </c>
      <c r="D46" s="12" t="s">
        <v>679</v>
      </c>
      <c r="E46" s="23" t="s">
        <v>680</v>
      </c>
      <c r="F46" s="23" t="s">
        <v>50</v>
      </c>
      <c r="G46" s="8" t="s">
        <v>110</v>
      </c>
      <c r="H46" s="8" t="s">
        <v>683</v>
      </c>
      <c r="I46" s="23" t="s">
        <v>680</v>
      </c>
      <c r="J46" s="23" t="s">
        <v>50</v>
      </c>
      <c r="K46" s="8" t="s">
        <v>110</v>
      </c>
      <c r="L46" s="8" t="s">
        <v>110</v>
      </c>
      <c r="M46" s="23" t="s">
        <v>680</v>
      </c>
      <c r="N46" s="23" t="s">
        <v>681</v>
      </c>
      <c r="O46" s="8" t="s">
        <v>683</v>
      </c>
      <c r="P46" s="8" t="s">
        <v>683</v>
      </c>
      <c r="Q46" s="23" t="s">
        <v>680</v>
      </c>
      <c r="R46" s="23" t="s">
        <v>50</v>
      </c>
      <c r="S46" s="8" t="s">
        <v>110</v>
      </c>
      <c r="T46" s="8" t="s">
        <v>110</v>
      </c>
      <c r="U46" s="23" t="s">
        <v>680</v>
      </c>
      <c r="V46" s="23" t="s">
        <v>50</v>
      </c>
      <c r="W46" s="8" t="s">
        <v>110</v>
      </c>
      <c r="X46" s="8" t="s">
        <v>110</v>
      </c>
      <c r="Y46" s="23" t="s">
        <v>680</v>
      </c>
      <c r="Z46" s="23" t="s">
        <v>50</v>
      </c>
      <c r="AA46" s="8" t="s">
        <v>110</v>
      </c>
      <c r="AB46" s="8" t="s">
        <v>110</v>
      </c>
      <c r="AC46" s="12"/>
      <c r="AD46" s="12"/>
    </row>
    <row r="47" spans="1:30" ht="25.5" x14ac:dyDescent="0.25">
      <c r="A47" s="17" t="s">
        <v>379</v>
      </c>
      <c r="B47" s="8" t="s">
        <v>18</v>
      </c>
      <c r="C47" s="12" t="s">
        <v>380</v>
      </c>
      <c r="D47" s="12" t="s">
        <v>679</v>
      </c>
      <c r="E47" s="23" t="s">
        <v>680</v>
      </c>
      <c r="F47" s="23" t="s">
        <v>681</v>
      </c>
      <c r="G47" s="8" t="s">
        <v>683</v>
      </c>
      <c r="H47" s="8" t="s">
        <v>683</v>
      </c>
      <c r="I47" s="23" t="s">
        <v>680</v>
      </c>
      <c r="J47" s="23" t="s">
        <v>681</v>
      </c>
      <c r="K47" s="8" t="s">
        <v>682</v>
      </c>
      <c r="L47" s="8" t="s">
        <v>683</v>
      </c>
      <c r="M47" s="23" t="s">
        <v>680</v>
      </c>
      <c r="N47" s="23" t="s">
        <v>681</v>
      </c>
      <c r="O47" s="8" t="s">
        <v>110</v>
      </c>
      <c r="P47" s="8" t="s">
        <v>683</v>
      </c>
      <c r="Q47" s="23" t="s">
        <v>680</v>
      </c>
      <c r="R47" s="23" t="s">
        <v>681</v>
      </c>
      <c r="S47" s="8" t="s">
        <v>683</v>
      </c>
      <c r="T47" s="8" t="s">
        <v>683</v>
      </c>
      <c r="U47" s="23" t="s">
        <v>680</v>
      </c>
      <c r="V47" s="23" t="s">
        <v>50</v>
      </c>
      <c r="W47" s="8" t="s">
        <v>110</v>
      </c>
      <c r="X47" s="8" t="s">
        <v>110</v>
      </c>
      <c r="Y47" s="23" t="s">
        <v>680</v>
      </c>
      <c r="Z47" s="23" t="s">
        <v>50</v>
      </c>
      <c r="AA47" s="8" t="s">
        <v>683</v>
      </c>
      <c r="AB47" s="8" t="s">
        <v>110</v>
      </c>
      <c r="AC47" s="12"/>
      <c r="AD47" s="12" t="s">
        <v>706</v>
      </c>
    </row>
    <row r="48" spans="1:30" ht="38.25" x14ac:dyDescent="0.25">
      <c r="A48" s="17" t="s">
        <v>385</v>
      </c>
      <c r="B48" s="8" t="s">
        <v>18</v>
      </c>
      <c r="C48" s="12" t="s">
        <v>386</v>
      </c>
      <c r="D48" s="12" t="s">
        <v>679</v>
      </c>
      <c r="E48" s="23" t="s">
        <v>680</v>
      </c>
      <c r="F48" s="23" t="s">
        <v>681</v>
      </c>
      <c r="G48" s="8" t="s">
        <v>683</v>
      </c>
      <c r="H48" s="8" t="s">
        <v>110</v>
      </c>
      <c r="I48" s="23" t="s">
        <v>680</v>
      </c>
      <c r="J48" s="23" t="s">
        <v>681</v>
      </c>
      <c r="K48" s="8" t="s">
        <v>683</v>
      </c>
      <c r="L48" s="8" t="s">
        <v>110</v>
      </c>
      <c r="M48" s="23" t="s">
        <v>680</v>
      </c>
      <c r="N48" s="23" t="s">
        <v>681</v>
      </c>
      <c r="O48" s="8" t="s">
        <v>683</v>
      </c>
      <c r="P48" s="8" t="s">
        <v>110</v>
      </c>
      <c r="Q48" s="23" t="s">
        <v>680</v>
      </c>
      <c r="R48" s="23" t="s">
        <v>681</v>
      </c>
      <c r="S48" s="8" t="s">
        <v>683</v>
      </c>
      <c r="T48" s="8" t="s">
        <v>683</v>
      </c>
      <c r="U48" s="23" t="s">
        <v>680</v>
      </c>
      <c r="V48" s="23" t="s">
        <v>681</v>
      </c>
      <c r="W48" s="8" t="s">
        <v>683</v>
      </c>
      <c r="X48" s="8" t="s">
        <v>110</v>
      </c>
      <c r="Y48" s="23" t="s">
        <v>680</v>
      </c>
      <c r="Z48" s="23" t="s">
        <v>681</v>
      </c>
      <c r="AA48" s="8" t="s">
        <v>683</v>
      </c>
      <c r="AB48" s="8" t="s">
        <v>110</v>
      </c>
      <c r="AC48" s="12" t="s">
        <v>707</v>
      </c>
      <c r="AD48" s="12" t="s">
        <v>707</v>
      </c>
    </row>
    <row r="49" spans="1:30" ht="38.25" x14ac:dyDescent="0.25">
      <c r="A49" s="17" t="s">
        <v>392</v>
      </c>
      <c r="B49" s="8" t="s">
        <v>18</v>
      </c>
      <c r="C49" s="12" t="s">
        <v>393</v>
      </c>
      <c r="D49" s="12" t="s">
        <v>679</v>
      </c>
      <c r="E49" s="23" t="s">
        <v>680</v>
      </c>
      <c r="F49" s="23" t="s">
        <v>50</v>
      </c>
      <c r="G49" s="8" t="s">
        <v>682</v>
      </c>
      <c r="H49" s="8" t="s">
        <v>110</v>
      </c>
      <c r="I49" s="23" t="s">
        <v>680</v>
      </c>
      <c r="J49" s="23" t="s">
        <v>50</v>
      </c>
      <c r="K49" s="8" t="s">
        <v>682</v>
      </c>
      <c r="L49" s="8" t="s">
        <v>110</v>
      </c>
      <c r="M49" s="23" t="s">
        <v>697</v>
      </c>
      <c r="N49" s="23" t="s">
        <v>67</v>
      </c>
      <c r="O49" s="8"/>
      <c r="P49" s="8" t="s">
        <v>683</v>
      </c>
      <c r="Q49" s="23" t="s">
        <v>680</v>
      </c>
      <c r="R49" s="23" t="s">
        <v>681</v>
      </c>
      <c r="S49" s="8" t="s">
        <v>683</v>
      </c>
      <c r="T49" s="8" t="s">
        <v>683</v>
      </c>
      <c r="U49" s="23" t="s">
        <v>708</v>
      </c>
      <c r="V49" s="23" t="s">
        <v>67</v>
      </c>
      <c r="W49" s="8"/>
      <c r="X49" s="8" t="s">
        <v>683</v>
      </c>
      <c r="Y49" s="23" t="s">
        <v>708</v>
      </c>
      <c r="Z49" s="23" t="s">
        <v>67</v>
      </c>
      <c r="AA49" s="8"/>
      <c r="AB49" s="8" t="s">
        <v>683</v>
      </c>
      <c r="AC49" s="12" t="s">
        <v>709</v>
      </c>
      <c r="AD49" s="12" t="s">
        <v>709</v>
      </c>
    </row>
    <row r="50" spans="1:30" ht="38.25" x14ac:dyDescent="0.25">
      <c r="A50" s="17" t="s">
        <v>398</v>
      </c>
      <c r="B50" s="8" t="s">
        <v>18</v>
      </c>
      <c r="C50" s="12" t="s">
        <v>399</v>
      </c>
      <c r="D50" s="12" t="s">
        <v>679</v>
      </c>
      <c r="E50" s="23" t="s">
        <v>697</v>
      </c>
      <c r="F50" s="23" t="s">
        <v>67</v>
      </c>
      <c r="G50" s="8"/>
      <c r="H50" s="8" t="s">
        <v>683</v>
      </c>
      <c r="I50" s="23" t="s">
        <v>680</v>
      </c>
      <c r="J50" s="23" t="s">
        <v>50</v>
      </c>
      <c r="K50" s="8" t="s">
        <v>110</v>
      </c>
      <c r="L50" s="8" t="s">
        <v>110</v>
      </c>
      <c r="M50" s="23" t="s">
        <v>697</v>
      </c>
      <c r="N50" s="23" t="s">
        <v>67</v>
      </c>
      <c r="O50" s="8"/>
      <c r="P50" s="8" t="s">
        <v>683</v>
      </c>
      <c r="Q50" s="23" t="s">
        <v>697</v>
      </c>
      <c r="R50" s="23" t="s">
        <v>67</v>
      </c>
      <c r="S50" s="8"/>
      <c r="T50" s="8" t="s">
        <v>683</v>
      </c>
      <c r="U50" s="23" t="s">
        <v>680</v>
      </c>
      <c r="V50" s="23" t="s">
        <v>50</v>
      </c>
      <c r="W50" s="8" t="s">
        <v>110</v>
      </c>
      <c r="X50" s="8" t="s">
        <v>110</v>
      </c>
      <c r="Y50" s="23" t="s">
        <v>680</v>
      </c>
      <c r="Z50" s="23" t="s">
        <v>50</v>
      </c>
      <c r="AA50" s="8" t="s">
        <v>110</v>
      </c>
      <c r="AB50" s="8" t="s">
        <v>110</v>
      </c>
      <c r="AC50" s="12"/>
      <c r="AD50" s="12"/>
    </row>
    <row r="51" spans="1:30" ht="25.5" x14ac:dyDescent="0.25">
      <c r="A51" s="17" t="s">
        <v>404</v>
      </c>
      <c r="B51" s="8" t="s">
        <v>18</v>
      </c>
      <c r="C51" s="12" t="s">
        <v>405</v>
      </c>
      <c r="D51" s="12" t="s">
        <v>679</v>
      </c>
      <c r="E51" s="23" t="s">
        <v>680</v>
      </c>
      <c r="F51" s="23" t="s">
        <v>681</v>
      </c>
      <c r="G51" s="8" t="s">
        <v>683</v>
      </c>
      <c r="H51" s="8" t="s">
        <v>683</v>
      </c>
      <c r="I51" s="23" t="s">
        <v>680</v>
      </c>
      <c r="J51" s="23" t="s">
        <v>681</v>
      </c>
      <c r="K51" s="8" t="s">
        <v>683</v>
      </c>
      <c r="L51" s="8" t="s">
        <v>683</v>
      </c>
      <c r="M51" s="23" t="s">
        <v>680</v>
      </c>
      <c r="N51" s="23" t="s">
        <v>681</v>
      </c>
      <c r="O51" s="8" t="s">
        <v>683</v>
      </c>
      <c r="P51" s="8" t="s">
        <v>683</v>
      </c>
      <c r="Q51" s="23" t="s">
        <v>680</v>
      </c>
      <c r="R51" s="23" t="s">
        <v>681</v>
      </c>
      <c r="S51" s="8" t="s">
        <v>683</v>
      </c>
      <c r="T51" s="8" t="s">
        <v>683</v>
      </c>
      <c r="U51" s="23" t="s">
        <v>680</v>
      </c>
      <c r="V51" s="23" t="s">
        <v>681</v>
      </c>
      <c r="W51" s="8" t="s">
        <v>683</v>
      </c>
      <c r="X51" s="8" t="s">
        <v>683</v>
      </c>
      <c r="Y51" s="23" t="s">
        <v>680</v>
      </c>
      <c r="Z51" s="23" t="s">
        <v>681</v>
      </c>
      <c r="AA51" s="8" t="s">
        <v>683</v>
      </c>
      <c r="AB51" s="8" t="s">
        <v>683</v>
      </c>
      <c r="AC51" s="12" t="s">
        <v>710</v>
      </c>
      <c r="AD51" s="12" t="s">
        <v>710</v>
      </c>
    </row>
    <row r="52" spans="1:30" ht="25.5" x14ac:dyDescent="0.25">
      <c r="A52" s="17" t="s">
        <v>410</v>
      </c>
      <c r="B52" s="8" t="s">
        <v>18</v>
      </c>
      <c r="C52" s="12" t="s">
        <v>411</v>
      </c>
      <c r="D52" s="12" t="s">
        <v>679</v>
      </c>
      <c r="E52" s="23" t="s">
        <v>680</v>
      </c>
      <c r="F52" s="23" t="s">
        <v>681</v>
      </c>
      <c r="G52" s="8" t="s">
        <v>682</v>
      </c>
      <c r="H52" s="8" t="s">
        <v>683</v>
      </c>
      <c r="I52" s="23" t="s">
        <v>680</v>
      </c>
      <c r="J52" s="23" t="s">
        <v>50</v>
      </c>
      <c r="K52" s="8" t="s">
        <v>682</v>
      </c>
      <c r="L52" s="8" t="s">
        <v>110</v>
      </c>
      <c r="M52" s="23" t="s">
        <v>680</v>
      </c>
      <c r="N52" s="23" t="s">
        <v>681</v>
      </c>
      <c r="O52" s="8" t="s">
        <v>682</v>
      </c>
      <c r="P52" s="8" t="s">
        <v>683</v>
      </c>
      <c r="Q52" s="23" t="s">
        <v>680</v>
      </c>
      <c r="R52" s="23" t="s">
        <v>681</v>
      </c>
      <c r="S52" s="8" t="s">
        <v>682</v>
      </c>
      <c r="T52" s="8" t="s">
        <v>683</v>
      </c>
      <c r="U52" s="23" t="s">
        <v>680</v>
      </c>
      <c r="V52" s="23" t="s">
        <v>50</v>
      </c>
      <c r="W52" s="8" t="s">
        <v>683</v>
      </c>
      <c r="X52" s="8" t="s">
        <v>110</v>
      </c>
      <c r="Y52" s="23" t="s">
        <v>680</v>
      </c>
      <c r="Z52" s="23" t="s">
        <v>50</v>
      </c>
      <c r="AA52" s="8" t="s">
        <v>683</v>
      </c>
      <c r="AB52" s="8" t="s">
        <v>110</v>
      </c>
      <c r="AC52" s="12" t="s">
        <v>711</v>
      </c>
      <c r="AD52" s="12" t="s">
        <v>711</v>
      </c>
    </row>
    <row r="53" spans="1:30" ht="38.25" x14ac:dyDescent="0.25">
      <c r="A53" s="17" t="s">
        <v>417</v>
      </c>
      <c r="B53" s="8" t="s">
        <v>18</v>
      </c>
      <c r="C53" s="12" t="s">
        <v>418</v>
      </c>
      <c r="D53" s="12" t="s">
        <v>679</v>
      </c>
      <c r="E53" s="23" t="s">
        <v>680</v>
      </c>
      <c r="F53" s="23" t="s">
        <v>681</v>
      </c>
      <c r="G53" s="8" t="s">
        <v>683</v>
      </c>
      <c r="H53" s="8" t="s">
        <v>683</v>
      </c>
      <c r="I53" s="23" t="s">
        <v>680</v>
      </c>
      <c r="J53" s="23" t="s">
        <v>681</v>
      </c>
      <c r="K53" s="8" t="s">
        <v>683</v>
      </c>
      <c r="L53" s="8" t="s">
        <v>683</v>
      </c>
      <c r="M53" s="23" t="s">
        <v>680</v>
      </c>
      <c r="N53" s="23" t="s">
        <v>50</v>
      </c>
      <c r="O53" s="8" t="s">
        <v>682</v>
      </c>
      <c r="P53" s="8" t="s">
        <v>110</v>
      </c>
      <c r="Q53" s="23" t="s">
        <v>680</v>
      </c>
      <c r="R53" s="23" t="s">
        <v>50</v>
      </c>
      <c r="S53" s="8" t="s">
        <v>682</v>
      </c>
      <c r="T53" s="8" t="s">
        <v>110</v>
      </c>
      <c r="U53" s="23" t="s">
        <v>680</v>
      </c>
      <c r="V53" s="23" t="s">
        <v>50</v>
      </c>
      <c r="W53" s="8" t="s">
        <v>110</v>
      </c>
      <c r="X53" s="8" t="s">
        <v>110</v>
      </c>
      <c r="Y53" s="23" t="s">
        <v>680</v>
      </c>
      <c r="Z53" s="23" t="s">
        <v>50</v>
      </c>
      <c r="AA53" s="8" t="s">
        <v>110</v>
      </c>
      <c r="AB53" s="8" t="s">
        <v>110</v>
      </c>
      <c r="AC53" s="12"/>
      <c r="AD53" s="12"/>
    </row>
    <row r="54" spans="1:30" ht="38.25" x14ac:dyDescent="0.25">
      <c r="A54" s="17" t="s">
        <v>424</v>
      </c>
      <c r="B54" s="8" t="s">
        <v>18</v>
      </c>
      <c r="C54" s="12" t="s">
        <v>425</v>
      </c>
      <c r="D54" s="12" t="s">
        <v>679</v>
      </c>
      <c r="E54" s="23" t="s">
        <v>680</v>
      </c>
      <c r="F54" s="23" t="s">
        <v>681</v>
      </c>
      <c r="G54" s="8" t="s">
        <v>683</v>
      </c>
      <c r="H54" s="8" t="s">
        <v>683</v>
      </c>
      <c r="I54" s="23" t="s">
        <v>680</v>
      </c>
      <c r="J54" s="23" t="s">
        <v>681</v>
      </c>
      <c r="K54" s="8" t="s">
        <v>683</v>
      </c>
      <c r="L54" s="8" t="s">
        <v>683</v>
      </c>
      <c r="M54" s="23" t="s">
        <v>680</v>
      </c>
      <c r="N54" s="23" t="s">
        <v>681</v>
      </c>
      <c r="O54" s="8" t="s">
        <v>683</v>
      </c>
      <c r="P54" s="8" t="s">
        <v>683</v>
      </c>
      <c r="Q54" s="23" t="s">
        <v>680</v>
      </c>
      <c r="R54" s="23" t="s">
        <v>681</v>
      </c>
      <c r="S54" s="8" t="s">
        <v>682</v>
      </c>
      <c r="T54" s="8" t="s">
        <v>683</v>
      </c>
      <c r="U54" s="23" t="s">
        <v>680</v>
      </c>
      <c r="V54" s="23" t="s">
        <v>681</v>
      </c>
      <c r="W54" s="8" t="s">
        <v>110</v>
      </c>
      <c r="X54" s="8" t="s">
        <v>683</v>
      </c>
      <c r="Y54" s="23" t="s">
        <v>680</v>
      </c>
      <c r="Z54" s="23" t="s">
        <v>681</v>
      </c>
      <c r="AA54" s="8" t="s">
        <v>110</v>
      </c>
      <c r="AB54" s="8" t="s">
        <v>683</v>
      </c>
      <c r="AC54" s="12" t="s">
        <v>712</v>
      </c>
      <c r="AD54" s="12" t="s">
        <v>693</v>
      </c>
    </row>
    <row r="55" spans="1:30" ht="25.5" x14ac:dyDescent="0.25">
      <c r="A55" s="17" t="s">
        <v>432</v>
      </c>
      <c r="B55" s="8" t="s">
        <v>19</v>
      </c>
      <c r="C55" s="12" t="s">
        <v>433</v>
      </c>
      <c r="D55" s="12" t="s">
        <v>679</v>
      </c>
      <c r="E55" s="23" t="s">
        <v>680</v>
      </c>
      <c r="F55" s="23" t="s">
        <v>681</v>
      </c>
      <c r="G55" s="8" t="s">
        <v>110</v>
      </c>
      <c r="H55" s="8" t="s">
        <v>683</v>
      </c>
      <c r="I55" s="23" t="s">
        <v>680</v>
      </c>
      <c r="J55" s="23" t="s">
        <v>681</v>
      </c>
      <c r="K55" s="8" t="s">
        <v>110</v>
      </c>
      <c r="L55" s="8" t="s">
        <v>683</v>
      </c>
      <c r="M55" s="23" t="s">
        <v>680</v>
      </c>
      <c r="N55" s="23" t="s">
        <v>50</v>
      </c>
      <c r="O55" s="8" t="s">
        <v>110</v>
      </c>
      <c r="P55" s="8" t="s">
        <v>110</v>
      </c>
      <c r="Q55" s="23" t="s">
        <v>680</v>
      </c>
      <c r="R55" s="23" t="s">
        <v>50</v>
      </c>
      <c r="S55" s="8" t="s">
        <v>110</v>
      </c>
      <c r="T55" s="8" t="s">
        <v>110</v>
      </c>
      <c r="U55" s="23" t="s">
        <v>680</v>
      </c>
      <c r="V55" s="23" t="s">
        <v>50</v>
      </c>
      <c r="W55" s="8" t="s">
        <v>110</v>
      </c>
      <c r="X55" s="8" t="s">
        <v>110</v>
      </c>
      <c r="Y55" s="23" t="s">
        <v>680</v>
      </c>
      <c r="Z55" s="23" t="s">
        <v>50</v>
      </c>
      <c r="AA55" s="8" t="s">
        <v>110</v>
      </c>
      <c r="AB55" s="8" t="s">
        <v>110</v>
      </c>
      <c r="AC55" s="12"/>
      <c r="AD55" s="12"/>
    </row>
    <row r="56" spans="1:30" ht="25.5" x14ac:dyDescent="0.25">
      <c r="A56" s="17" t="s">
        <v>438</v>
      </c>
      <c r="B56" s="8" t="s">
        <v>19</v>
      </c>
      <c r="C56" s="12" t="s">
        <v>439</v>
      </c>
      <c r="D56" s="12" t="s">
        <v>679</v>
      </c>
      <c r="E56" s="23" t="s">
        <v>680</v>
      </c>
      <c r="F56" s="23" t="s">
        <v>681</v>
      </c>
      <c r="G56" s="8" t="s">
        <v>682</v>
      </c>
      <c r="H56" s="8" t="s">
        <v>683</v>
      </c>
      <c r="I56" s="23" t="s">
        <v>680</v>
      </c>
      <c r="J56" s="23" t="s">
        <v>681</v>
      </c>
      <c r="K56" s="8" t="s">
        <v>683</v>
      </c>
      <c r="L56" s="8" t="s">
        <v>683</v>
      </c>
      <c r="M56" s="23" t="s">
        <v>680</v>
      </c>
      <c r="N56" s="23" t="s">
        <v>50</v>
      </c>
      <c r="O56" s="8" t="s">
        <v>110</v>
      </c>
      <c r="P56" s="8" t="s">
        <v>110</v>
      </c>
      <c r="Q56" s="23" t="s">
        <v>680</v>
      </c>
      <c r="R56" s="23" t="s">
        <v>50</v>
      </c>
      <c r="S56" s="8" t="s">
        <v>110</v>
      </c>
      <c r="T56" s="8" t="s">
        <v>683</v>
      </c>
      <c r="U56" s="23" t="s">
        <v>680</v>
      </c>
      <c r="V56" s="23" t="s">
        <v>50</v>
      </c>
      <c r="W56" s="8" t="s">
        <v>110</v>
      </c>
      <c r="X56" s="8" t="s">
        <v>683</v>
      </c>
      <c r="Y56" s="23" t="s">
        <v>680</v>
      </c>
      <c r="Z56" s="23" t="s">
        <v>50</v>
      </c>
      <c r="AA56" s="8" t="s">
        <v>110</v>
      </c>
      <c r="AB56" s="8" t="s">
        <v>683</v>
      </c>
      <c r="AC56" s="12"/>
      <c r="AD56" s="12"/>
    </row>
    <row r="57" spans="1:30" ht="25.5" x14ac:dyDescent="0.25">
      <c r="A57" s="17" t="s">
        <v>445</v>
      </c>
      <c r="B57" s="8" t="s">
        <v>19</v>
      </c>
      <c r="C57" s="12" t="s">
        <v>446</v>
      </c>
      <c r="D57" s="12" t="s">
        <v>679</v>
      </c>
      <c r="E57" s="23" t="s">
        <v>680</v>
      </c>
      <c r="F57" s="23" t="s">
        <v>50</v>
      </c>
      <c r="G57" s="8" t="s">
        <v>683</v>
      </c>
      <c r="H57" s="8" t="s">
        <v>110</v>
      </c>
      <c r="I57" s="23" t="s">
        <v>680</v>
      </c>
      <c r="J57" s="23" t="s">
        <v>50</v>
      </c>
      <c r="K57" s="8" t="s">
        <v>683</v>
      </c>
      <c r="L57" s="8" t="s">
        <v>110</v>
      </c>
      <c r="M57" s="23" t="s">
        <v>708</v>
      </c>
      <c r="N57" s="23" t="s">
        <v>67</v>
      </c>
      <c r="O57" s="8"/>
      <c r="P57" s="8" t="s">
        <v>683</v>
      </c>
      <c r="Q57" s="23" t="s">
        <v>680</v>
      </c>
      <c r="R57" s="23" t="s">
        <v>681</v>
      </c>
      <c r="S57" s="8" t="s">
        <v>683</v>
      </c>
      <c r="T57" s="8" t="s">
        <v>683</v>
      </c>
      <c r="U57" s="23" t="s">
        <v>680</v>
      </c>
      <c r="V57" s="23" t="s">
        <v>50</v>
      </c>
      <c r="W57" s="8" t="s">
        <v>683</v>
      </c>
      <c r="X57" s="8" t="s">
        <v>110</v>
      </c>
      <c r="Y57" s="23" t="s">
        <v>680</v>
      </c>
      <c r="Z57" s="23" t="s">
        <v>50</v>
      </c>
      <c r="AA57" s="8" t="s">
        <v>683</v>
      </c>
      <c r="AB57" s="8" t="s">
        <v>110</v>
      </c>
      <c r="AC57" s="12" t="s">
        <v>713</v>
      </c>
      <c r="AD57" s="12" t="s">
        <v>714</v>
      </c>
    </row>
    <row r="58" spans="1:30" ht="38.25" x14ac:dyDescent="0.25">
      <c r="A58" s="17" t="s">
        <v>450</v>
      </c>
      <c r="B58" s="8" t="s">
        <v>19</v>
      </c>
      <c r="C58" s="12" t="s">
        <v>451</v>
      </c>
      <c r="D58" s="12" t="s">
        <v>679</v>
      </c>
      <c r="E58" s="23" t="s">
        <v>680</v>
      </c>
      <c r="F58" s="23" t="s">
        <v>681</v>
      </c>
      <c r="G58" s="8" t="s">
        <v>683</v>
      </c>
      <c r="H58" s="8" t="s">
        <v>683</v>
      </c>
      <c r="I58" s="23" t="s">
        <v>680</v>
      </c>
      <c r="J58" s="23" t="s">
        <v>50</v>
      </c>
      <c r="K58" s="8" t="s">
        <v>683</v>
      </c>
      <c r="L58" s="8" t="s">
        <v>683</v>
      </c>
      <c r="M58" s="23" t="s">
        <v>680</v>
      </c>
      <c r="N58" s="23" t="s">
        <v>50</v>
      </c>
      <c r="O58" s="8" t="s">
        <v>110</v>
      </c>
      <c r="P58" s="8" t="s">
        <v>683</v>
      </c>
      <c r="Q58" s="23" t="s">
        <v>680</v>
      </c>
      <c r="R58" s="23" t="s">
        <v>50</v>
      </c>
      <c r="S58" s="8" t="s">
        <v>110</v>
      </c>
      <c r="T58" s="8" t="s">
        <v>683</v>
      </c>
      <c r="U58" s="23" t="s">
        <v>680</v>
      </c>
      <c r="V58" s="23" t="s">
        <v>50</v>
      </c>
      <c r="W58" s="8" t="s">
        <v>110</v>
      </c>
      <c r="X58" s="8" t="s">
        <v>110</v>
      </c>
      <c r="Y58" s="23" t="s">
        <v>680</v>
      </c>
      <c r="Z58" s="23" t="s">
        <v>50</v>
      </c>
      <c r="AA58" s="8" t="s">
        <v>110</v>
      </c>
      <c r="AB58" s="8" t="s">
        <v>110</v>
      </c>
      <c r="AC58" s="12"/>
      <c r="AD58" s="12"/>
    </row>
    <row r="59" spans="1:30" ht="25.5" x14ac:dyDescent="0.25">
      <c r="A59" s="17" t="s">
        <v>455</v>
      </c>
      <c r="B59" s="8" t="s">
        <v>19</v>
      </c>
      <c r="C59" s="12" t="s">
        <v>456</v>
      </c>
      <c r="D59" s="12" t="s">
        <v>679</v>
      </c>
      <c r="E59" s="23" t="s">
        <v>680</v>
      </c>
      <c r="F59" s="23" t="s">
        <v>50</v>
      </c>
      <c r="G59" s="8" t="s">
        <v>110</v>
      </c>
      <c r="H59" s="8" t="s">
        <v>110</v>
      </c>
      <c r="I59" s="23" t="s">
        <v>680</v>
      </c>
      <c r="J59" s="23" t="s">
        <v>50</v>
      </c>
      <c r="K59" s="8" t="s">
        <v>110</v>
      </c>
      <c r="L59" s="8" t="s">
        <v>110</v>
      </c>
      <c r="M59" s="23" t="s">
        <v>680</v>
      </c>
      <c r="N59" s="23" t="s">
        <v>681</v>
      </c>
      <c r="O59" s="8" t="s">
        <v>110</v>
      </c>
      <c r="P59" s="8" t="s">
        <v>683</v>
      </c>
      <c r="Q59" s="23" t="s">
        <v>680</v>
      </c>
      <c r="R59" s="23" t="s">
        <v>50</v>
      </c>
      <c r="S59" s="8" t="s">
        <v>110</v>
      </c>
      <c r="T59" s="8" t="s">
        <v>110</v>
      </c>
      <c r="U59" s="23" t="s">
        <v>680</v>
      </c>
      <c r="V59" s="23" t="s">
        <v>50</v>
      </c>
      <c r="W59" s="8" t="s">
        <v>110</v>
      </c>
      <c r="X59" s="8" t="s">
        <v>110</v>
      </c>
      <c r="Y59" s="23" t="s">
        <v>680</v>
      </c>
      <c r="Z59" s="23" t="s">
        <v>50</v>
      </c>
      <c r="AA59" s="8" t="s">
        <v>110</v>
      </c>
      <c r="AB59" s="8" t="s">
        <v>110</v>
      </c>
      <c r="AC59" s="12"/>
      <c r="AD59" s="12"/>
    </row>
    <row r="60" spans="1:30" ht="25.5" x14ac:dyDescent="0.25">
      <c r="A60" s="17" t="s">
        <v>461</v>
      </c>
      <c r="B60" s="8" t="s">
        <v>19</v>
      </c>
      <c r="C60" s="12" t="s">
        <v>462</v>
      </c>
      <c r="D60" s="12" t="s">
        <v>679</v>
      </c>
      <c r="E60" s="23" t="s">
        <v>680</v>
      </c>
      <c r="F60" s="23" t="s">
        <v>681</v>
      </c>
      <c r="G60" s="8" t="s">
        <v>110</v>
      </c>
      <c r="H60" s="8" t="s">
        <v>683</v>
      </c>
      <c r="I60" s="23" t="s">
        <v>680</v>
      </c>
      <c r="J60" s="23" t="s">
        <v>681</v>
      </c>
      <c r="K60" s="8" t="s">
        <v>682</v>
      </c>
      <c r="L60" s="8" t="s">
        <v>683</v>
      </c>
      <c r="M60" s="23" t="s">
        <v>680</v>
      </c>
      <c r="N60" s="23" t="s">
        <v>681</v>
      </c>
      <c r="O60" s="8" t="s">
        <v>682</v>
      </c>
      <c r="P60" s="8" t="s">
        <v>683</v>
      </c>
      <c r="Q60" s="23" t="s">
        <v>680</v>
      </c>
      <c r="R60" s="23" t="s">
        <v>681</v>
      </c>
      <c r="S60" s="8" t="s">
        <v>683</v>
      </c>
      <c r="T60" s="8" t="s">
        <v>683</v>
      </c>
      <c r="U60" s="23" t="s">
        <v>680</v>
      </c>
      <c r="V60" s="23" t="s">
        <v>681</v>
      </c>
      <c r="W60" s="8" t="s">
        <v>682</v>
      </c>
      <c r="X60" s="8" t="s">
        <v>683</v>
      </c>
      <c r="Y60" s="23" t="s">
        <v>680</v>
      </c>
      <c r="Z60" s="23" t="s">
        <v>681</v>
      </c>
      <c r="AA60" s="8" t="s">
        <v>682</v>
      </c>
      <c r="AB60" s="8" t="s">
        <v>683</v>
      </c>
      <c r="AC60" s="12" t="s">
        <v>715</v>
      </c>
      <c r="AD60" s="12" t="s">
        <v>715</v>
      </c>
    </row>
    <row r="61" spans="1:30" ht="25.5" x14ac:dyDescent="0.25">
      <c r="A61" s="17" t="s">
        <v>466</v>
      </c>
      <c r="B61" s="8" t="s">
        <v>19</v>
      </c>
      <c r="C61" s="12" t="s">
        <v>467</v>
      </c>
      <c r="D61" s="12" t="s">
        <v>679</v>
      </c>
      <c r="E61" s="23" t="s">
        <v>680</v>
      </c>
      <c r="F61" s="23" t="s">
        <v>50</v>
      </c>
      <c r="G61" s="8" t="s">
        <v>110</v>
      </c>
      <c r="H61" s="8" t="s">
        <v>683</v>
      </c>
      <c r="I61" s="23" t="s">
        <v>680</v>
      </c>
      <c r="J61" s="23" t="s">
        <v>50</v>
      </c>
      <c r="K61" s="8" t="s">
        <v>683</v>
      </c>
      <c r="L61" s="8" t="s">
        <v>683</v>
      </c>
      <c r="M61" s="23" t="s">
        <v>680</v>
      </c>
      <c r="N61" s="23" t="s">
        <v>50</v>
      </c>
      <c r="O61" s="8" t="s">
        <v>110</v>
      </c>
      <c r="P61" s="8" t="s">
        <v>683</v>
      </c>
      <c r="Q61" s="23" t="s">
        <v>680</v>
      </c>
      <c r="R61" s="23" t="s">
        <v>50</v>
      </c>
      <c r="S61" s="8" t="s">
        <v>110</v>
      </c>
      <c r="T61" s="8" t="s">
        <v>683</v>
      </c>
      <c r="U61" s="23" t="s">
        <v>680</v>
      </c>
      <c r="V61" s="23" t="s">
        <v>50</v>
      </c>
      <c r="W61" s="8" t="s">
        <v>110</v>
      </c>
      <c r="X61" s="8" t="s">
        <v>683</v>
      </c>
      <c r="Y61" s="23" t="s">
        <v>680</v>
      </c>
      <c r="Z61" s="23" t="s">
        <v>50</v>
      </c>
      <c r="AA61" s="8" t="s">
        <v>110</v>
      </c>
      <c r="AB61" s="8" t="s">
        <v>683</v>
      </c>
      <c r="AC61" s="12"/>
      <c r="AD61" s="12"/>
    </row>
    <row r="62" spans="1:30" ht="25.5" x14ac:dyDescent="0.25">
      <c r="A62" s="17" t="s">
        <v>472</v>
      </c>
      <c r="B62" s="8" t="s">
        <v>19</v>
      </c>
      <c r="C62" s="12" t="s">
        <v>473</v>
      </c>
      <c r="D62" s="12" t="s">
        <v>679</v>
      </c>
      <c r="E62" s="23" t="s">
        <v>680</v>
      </c>
      <c r="F62" s="23" t="s">
        <v>681</v>
      </c>
      <c r="G62" s="8" t="s">
        <v>110</v>
      </c>
      <c r="H62" s="8" t="s">
        <v>683</v>
      </c>
      <c r="I62" s="23" t="s">
        <v>680</v>
      </c>
      <c r="J62" s="23" t="s">
        <v>681</v>
      </c>
      <c r="K62" s="8" t="s">
        <v>110</v>
      </c>
      <c r="L62" s="8" t="s">
        <v>683</v>
      </c>
      <c r="M62" s="23" t="s">
        <v>680</v>
      </c>
      <c r="N62" s="23" t="s">
        <v>681</v>
      </c>
      <c r="O62" s="8" t="s">
        <v>110</v>
      </c>
      <c r="P62" s="8" t="s">
        <v>683</v>
      </c>
      <c r="Q62" s="23" t="s">
        <v>680</v>
      </c>
      <c r="R62" s="23" t="s">
        <v>681</v>
      </c>
      <c r="S62" s="8" t="s">
        <v>110</v>
      </c>
      <c r="T62" s="8" t="s">
        <v>683</v>
      </c>
      <c r="U62" s="23" t="s">
        <v>680</v>
      </c>
      <c r="V62" s="23" t="s">
        <v>681</v>
      </c>
      <c r="W62" s="8" t="s">
        <v>683</v>
      </c>
      <c r="X62" s="8" t="s">
        <v>683</v>
      </c>
      <c r="Y62" s="23" t="s">
        <v>680</v>
      </c>
      <c r="Z62" s="23" t="s">
        <v>681</v>
      </c>
      <c r="AA62" s="8" t="s">
        <v>110</v>
      </c>
      <c r="AB62" s="8" t="s">
        <v>683</v>
      </c>
      <c r="AC62" s="12" t="s">
        <v>716</v>
      </c>
      <c r="AD62" s="12" t="s">
        <v>717</v>
      </c>
    </row>
    <row r="63" spans="1:30" ht="25.5" x14ac:dyDescent="0.25">
      <c r="A63" s="17" t="s">
        <v>477</v>
      </c>
      <c r="B63" s="8" t="s">
        <v>19</v>
      </c>
      <c r="C63" s="12" t="s">
        <v>478</v>
      </c>
      <c r="D63" s="12" t="s">
        <v>679</v>
      </c>
      <c r="E63" s="23" t="s">
        <v>680</v>
      </c>
      <c r="F63" s="23" t="s">
        <v>681</v>
      </c>
      <c r="G63" s="8" t="s">
        <v>110</v>
      </c>
      <c r="H63" s="8" t="s">
        <v>683</v>
      </c>
      <c r="I63" s="23" t="s">
        <v>680</v>
      </c>
      <c r="J63" s="23" t="s">
        <v>681</v>
      </c>
      <c r="K63" s="8" t="s">
        <v>110</v>
      </c>
      <c r="L63" s="8" t="s">
        <v>683</v>
      </c>
      <c r="M63" s="23" t="s">
        <v>680</v>
      </c>
      <c r="N63" s="23" t="s">
        <v>681</v>
      </c>
      <c r="O63" s="8" t="s">
        <v>683</v>
      </c>
      <c r="P63" s="8" t="s">
        <v>683</v>
      </c>
      <c r="Q63" s="23" t="s">
        <v>680</v>
      </c>
      <c r="R63" s="23" t="s">
        <v>681</v>
      </c>
      <c r="S63" s="8" t="s">
        <v>110</v>
      </c>
      <c r="T63" s="8" t="s">
        <v>683</v>
      </c>
      <c r="U63" s="23" t="s">
        <v>680</v>
      </c>
      <c r="V63" s="23" t="s">
        <v>681</v>
      </c>
      <c r="W63" s="8" t="s">
        <v>110</v>
      </c>
      <c r="X63" s="8" t="s">
        <v>683</v>
      </c>
      <c r="Y63" s="23" t="s">
        <v>680</v>
      </c>
      <c r="Z63" s="23" t="s">
        <v>681</v>
      </c>
      <c r="AA63" s="8" t="s">
        <v>110</v>
      </c>
      <c r="AB63" s="8" t="s">
        <v>683</v>
      </c>
      <c r="AC63" s="12" t="s">
        <v>718</v>
      </c>
      <c r="AD63" s="12" t="s">
        <v>718</v>
      </c>
    </row>
    <row r="64" spans="1:30" x14ac:dyDescent="0.25">
      <c r="A64" s="17" t="s">
        <v>482</v>
      </c>
      <c r="B64" s="8" t="s">
        <v>19</v>
      </c>
      <c r="C64" s="12" t="s">
        <v>483</v>
      </c>
      <c r="D64" s="12" t="s">
        <v>679</v>
      </c>
      <c r="E64" s="23" t="s">
        <v>680</v>
      </c>
      <c r="F64" s="23" t="s">
        <v>681</v>
      </c>
      <c r="G64" s="8" t="s">
        <v>683</v>
      </c>
      <c r="H64" s="8" t="s">
        <v>683</v>
      </c>
      <c r="I64" s="23" t="s">
        <v>680</v>
      </c>
      <c r="J64" s="23" t="s">
        <v>681</v>
      </c>
      <c r="K64" s="8" t="s">
        <v>683</v>
      </c>
      <c r="L64" s="8" t="s">
        <v>683</v>
      </c>
      <c r="M64" s="23" t="s">
        <v>680</v>
      </c>
      <c r="N64" s="23" t="s">
        <v>681</v>
      </c>
      <c r="O64" s="8" t="s">
        <v>110</v>
      </c>
      <c r="P64" s="8" t="s">
        <v>683</v>
      </c>
      <c r="Q64" s="23" t="s">
        <v>680</v>
      </c>
      <c r="R64" s="23" t="s">
        <v>50</v>
      </c>
      <c r="S64" s="8" t="s">
        <v>110</v>
      </c>
      <c r="T64" s="8" t="s">
        <v>110</v>
      </c>
      <c r="U64" s="23" t="s">
        <v>680</v>
      </c>
      <c r="V64" s="23" t="s">
        <v>50</v>
      </c>
      <c r="W64" s="8" t="s">
        <v>110</v>
      </c>
      <c r="X64" s="8" t="s">
        <v>110</v>
      </c>
      <c r="Y64" s="23" t="s">
        <v>680</v>
      </c>
      <c r="Z64" s="23" t="s">
        <v>50</v>
      </c>
      <c r="AA64" s="8" t="s">
        <v>110</v>
      </c>
      <c r="AB64" s="8" t="s">
        <v>110</v>
      </c>
      <c r="AC64" s="12"/>
      <c r="AD64" s="12"/>
    </row>
    <row r="65" spans="1:30" ht="25.5" x14ac:dyDescent="0.25">
      <c r="A65" s="17" t="s">
        <v>489</v>
      </c>
      <c r="B65" s="8" t="s">
        <v>20</v>
      </c>
      <c r="C65" s="12" t="s">
        <v>490</v>
      </c>
      <c r="D65" s="12" t="s">
        <v>679</v>
      </c>
      <c r="E65" s="23" t="s">
        <v>680</v>
      </c>
      <c r="F65" s="23" t="s">
        <v>681</v>
      </c>
      <c r="G65" s="8" t="s">
        <v>683</v>
      </c>
      <c r="H65" s="8" t="s">
        <v>683</v>
      </c>
      <c r="I65" s="23" t="s">
        <v>680</v>
      </c>
      <c r="J65" s="23" t="s">
        <v>681</v>
      </c>
      <c r="K65" s="8" t="s">
        <v>683</v>
      </c>
      <c r="L65" s="8" t="s">
        <v>683</v>
      </c>
      <c r="M65" s="23" t="s">
        <v>680</v>
      </c>
      <c r="N65" s="23" t="s">
        <v>681</v>
      </c>
      <c r="O65" s="8" t="s">
        <v>683</v>
      </c>
      <c r="P65" s="8" t="s">
        <v>683</v>
      </c>
      <c r="Q65" s="23" t="s">
        <v>680</v>
      </c>
      <c r="R65" s="23" t="s">
        <v>681</v>
      </c>
      <c r="S65" s="8" t="s">
        <v>683</v>
      </c>
      <c r="T65" s="8" t="s">
        <v>683</v>
      </c>
      <c r="U65" s="23" t="s">
        <v>680</v>
      </c>
      <c r="V65" s="23" t="s">
        <v>681</v>
      </c>
      <c r="W65" s="8" t="s">
        <v>110</v>
      </c>
      <c r="X65" s="8" t="s">
        <v>683</v>
      </c>
      <c r="Y65" s="23" t="s">
        <v>680</v>
      </c>
      <c r="Z65" s="23" t="s">
        <v>681</v>
      </c>
      <c r="AA65" s="8" t="s">
        <v>683</v>
      </c>
      <c r="AB65" s="8" t="s">
        <v>683</v>
      </c>
      <c r="AC65" s="12" t="s">
        <v>719</v>
      </c>
      <c r="AD65" s="12" t="s">
        <v>720</v>
      </c>
    </row>
    <row r="66" spans="1:30" x14ac:dyDescent="0.25">
      <c r="A66" s="17" t="s">
        <v>496</v>
      </c>
      <c r="B66" s="8" t="s">
        <v>20</v>
      </c>
      <c r="C66" s="12" t="s">
        <v>497</v>
      </c>
      <c r="D66" s="12" t="s">
        <v>679</v>
      </c>
      <c r="E66" s="23" t="s">
        <v>680</v>
      </c>
      <c r="F66" s="23" t="s">
        <v>681</v>
      </c>
      <c r="G66" s="8" t="s">
        <v>110</v>
      </c>
      <c r="H66" s="8" t="s">
        <v>110</v>
      </c>
      <c r="I66" s="23" t="s">
        <v>680</v>
      </c>
      <c r="J66" s="23" t="s">
        <v>681</v>
      </c>
      <c r="K66" s="8" t="s">
        <v>110</v>
      </c>
      <c r="L66" s="8" t="s">
        <v>683</v>
      </c>
      <c r="M66" s="23" t="s">
        <v>680</v>
      </c>
      <c r="N66" s="23" t="s">
        <v>681</v>
      </c>
      <c r="O66" s="8" t="s">
        <v>683</v>
      </c>
      <c r="P66" s="8" t="s">
        <v>683</v>
      </c>
      <c r="Q66" s="23" t="s">
        <v>680</v>
      </c>
      <c r="R66" s="23" t="s">
        <v>681</v>
      </c>
      <c r="S66" s="8" t="s">
        <v>683</v>
      </c>
      <c r="T66" s="8" t="s">
        <v>683</v>
      </c>
      <c r="U66" s="23" t="s">
        <v>680</v>
      </c>
      <c r="V66" s="23" t="s">
        <v>681</v>
      </c>
      <c r="W66" s="8" t="s">
        <v>110</v>
      </c>
      <c r="X66" s="8" t="s">
        <v>683</v>
      </c>
      <c r="Y66" s="23" t="s">
        <v>680</v>
      </c>
      <c r="Z66" s="23" t="s">
        <v>681</v>
      </c>
      <c r="AA66" s="8" t="s">
        <v>110</v>
      </c>
      <c r="AB66" s="8" t="s">
        <v>683</v>
      </c>
      <c r="AC66" s="12" t="s">
        <v>721</v>
      </c>
      <c r="AD66" s="12" t="s">
        <v>721</v>
      </c>
    </row>
    <row r="67" spans="1:30" ht="25.5" x14ac:dyDescent="0.25">
      <c r="A67" s="17" t="s">
        <v>501</v>
      </c>
      <c r="B67" s="8" t="s">
        <v>20</v>
      </c>
      <c r="C67" s="12" t="s">
        <v>502</v>
      </c>
      <c r="D67" s="12" t="s">
        <v>679</v>
      </c>
      <c r="E67" s="23" t="s">
        <v>680</v>
      </c>
      <c r="F67" s="23" t="s">
        <v>681</v>
      </c>
      <c r="G67" s="8" t="s">
        <v>683</v>
      </c>
      <c r="H67" s="8" t="s">
        <v>683</v>
      </c>
      <c r="I67" s="23" t="s">
        <v>680</v>
      </c>
      <c r="J67" s="23" t="s">
        <v>681</v>
      </c>
      <c r="K67" s="8" t="s">
        <v>683</v>
      </c>
      <c r="L67" s="8" t="s">
        <v>683</v>
      </c>
      <c r="M67" s="23" t="s">
        <v>680</v>
      </c>
      <c r="N67" s="23" t="s">
        <v>681</v>
      </c>
      <c r="O67" s="8" t="s">
        <v>683</v>
      </c>
      <c r="P67" s="8" t="s">
        <v>683</v>
      </c>
      <c r="Q67" s="23" t="s">
        <v>680</v>
      </c>
      <c r="R67" s="23" t="s">
        <v>681</v>
      </c>
      <c r="S67" s="8" t="s">
        <v>683</v>
      </c>
      <c r="T67" s="8" t="s">
        <v>683</v>
      </c>
      <c r="U67" s="23" t="s">
        <v>680</v>
      </c>
      <c r="V67" s="23" t="s">
        <v>681</v>
      </c>
      <c r="W67" s="8" t="s">
        <v>110</v>
      </c>
      <c r="X67" s="8" t="s">
        <v>683</v>
      </c>
      <c r="Y67" s="23" t="s">
        <v>680</v>
      </c>
      <c r="Z67" s="23" t="s">
        <v>681</v>
      </c>
      <c r="AA67" s="8" t="s">
        <v>683</v>
      </c>
      <c r="AB67" s="8" t="s">
        <v>683</v>
      </c>
      <c r="AC67" s="12" t="s">
        <v>722</v>
      </c>
      <c r="AD67" s="12" t="s">
        <v>723</v>
      </c>
    </row>
    <row r="68" spans="1:30" ht="25.5" x14ac:dyDescent="0.25">
      <c r="A68" s="17" t="s">
        <v>508</v>
      </c>
      <c r="B68" s="8" t="s">
        <v>20</v>
      </c>
      <c r="C68" s="12" t="s">
        <v>509</v>
      </c>
      <c r="D68" s="12" t="s">
        <v>679</v>
      </c>
      <c r="E68" s="23" t="s">
        <v>680</v>
      </c>
      <c r="F68" s="23" t="s">
        <v>681</v>
      </c>
      <c r="G68" s="8" t="s">
        <v>110</v>
      </c>
      <c r="H68" s="8" t="s">
        <v>683</v>
      </c>
      <c r="I68" s="23" t="s">
        <v>680</v>
      </c>
      <c r="J68" s="23" t="s">
        <v>681</v>
      </c>
      <c r="K68" s="8" t="s">
        <v>110</v>
      </c>
      <c r="L68" s="8" t="s">
        <v>683</v>
      </c>
      <c r="M68" s="23" t="s">
        <v>680</v>
      </c>
      <c r="N68" s="23" t="s">
        <v>681</v>
      </c>
      <c r="O68" s="8" t="s">
        <v>683</v>
      </c>
      <c r="P68" s="8" t="s">
        <v>683</v>
      </c>
      <c r="Q68" s="23" t="s">
        <v>680</v>
      </c>
      <c r="R68" s="23" t="s">
        <v>681</v>
      </c>
      <c r="S68" s="8" t="s">
        <v>110</v>
      </c>
      <c r="T68" s="8" t="s">
        <v>683</v>
      </c>
      <c r="U68" s="23" t="s">
        <v>680</v>
      </c>
      <c r="V68" s="23" t="s">
        <v>681</v>
      </c>
      <c r="W68" s="8" t="s">
        <v>683</v>
      </c>
      <c r="X68" s="8" t="s">
        <v>683</v>
      </c>
      <c r="Y68" s="23" t="s">
        <v>680</v>
      </c>
      <c r="Z68" s="23" t="s">
        <v>681</v>
      </c>
      <c r="AA68" s="8" t="s">
        <v>110</v>
      </c>
      <c r="AB68" s="8" t="s">
        <v>683</v>
      </c>
      <c r="AC68" s="12" t="s">
        <v>724</v>
      </c>
      <c r="AD68" s="12" t="s">
        <v>725</v>
      </c>
    </row>
    <row r="69" spans="1:30" x14ac:dyDescent="0.25">
      <c r="A69" s="17" t="s">
        <v>515</v>
      </c>
      <c r="B69" s="8" t="s">
        <v>20</v>
      </c>
      <c r="C69" s="12" t="s">
        <v>516</v>
      </c>
      <c r="D69" s="12" t="s">
        <v>679</v>
      </c>
      <c r="E69" s="23" t="s">
        <v>680</v>
      </c>
      <c r="F69" s="23" t="s">
        <v>681</v>
      </c>
      <c r="G69" s="8" t="s">
        <v>682</v>
      </c>
      <c r="H69" s="8" t="s">
        <v>683</v>
      </c>
      <c r="I69" s="23" t="s">
        <v>680</v>
      </c>
      <c r="J69" s="23" t="s">
        <v>681</v>
      </c>
      <c r="K69" s="8" t="s">
        <v>110</v>
      </c>
      <c r="L69" s="8" t="s">
        <v>683</v>
      </c>
      <c r="M69" s="23" t="s">
        <v>680</v>
      </c>
      <c r="N69" s="23" t="s">
        <v>681</v>
      </c>
      <c r="O69" s="8" t="s">
        <v>683</v>
      </c>
      <c r="P69" s="8" t="s">
        <v>683</v>
      </c>
      <c r="Q69" s="23" t="s">
        <v>680</v>
      </c>
      <c r="R69" s="23" t="s">
        <v>681</v>
      </c>
      <c r="S69" s="8" t="s">
        <v>110</v>
      </c>
      <c r="T69" s="8" t="s">
        <v>683</v>
      </c>
      <c r="U69" s="23" t="s">
        <v>680</v>
      </c>
      <c r="V69" s="23" t="s">
        <v>681</v>
      </c>
      <c r="W69" s="8" t="s">
        <v>110</v>
      </c>
      <c r="X69" s="8" t="s">
        <v>683</v>
      </c>
      <c r="Y69" s="23" t="s">
        <v>680</v>
      </c>
      <c r="Z69" s="23" t="s">
        <v>681</v>
      </c>
      <c r="AA69" s="8" t="s">
        <v>110</v>
      </c>
      <c r="AB69" s="8" t="s">
        <v>683</v>
      </c>
      <c r="AC69" s="12" t="s">
        <v>726</v>
      </c>
      <c r="AD69" s="12" t="s">
        <v>726</v>
      </c>
    </row>
    <row r="70" spans="1:30" ht="25.5" x14ac:dyDescent="0.25">
      <c r="A70" s="17" t="s">
        <v>522</v>
      </c>
      <c r="B70" s="8" t="s">
        <v>20</v>
      </c>
      <c r="C70" s="12" t="s">
        <v>523</v>
      </c>
      <c r="D70" s="12" t="s">
        <v>679</v>
      </c>
      <c r="E70" s="23" t="s">
        <v>680</v>
      </c>
      <c r="F70" s="23" t="s">
        <v>681</v>
      </c>
      <c r="G70" s="8" t="s">
        <v>110</v>
      </c>
      <c r="H70" s="8" t="s">
        <v>683</v>
      </c>
      <c r="I70" s="23" t="s">
        <v>680</v>
      </c>
      <c r="J70" s="23" t="s">
        <v>681</v>
      </c>
      <c r="K70" s="8" t="s">
        <v>110</v>
      </c>
      <c r="L70" s="8" t="s">
        <v>683</v>
      </c>
      <c r="M70" s="23" t="s">
        <v>680</v>
      </c>
      <c r="N70" s="23" t="s">
        <v>681</v>
      </c>
      <c r="O70" s="8" t="s">
        <v>683</v>
      </c>
      <c r="P70" s="8" t="s">
        <v>683</v>
      </c>
      <c r="Q70" s="23" t="s">
        <v>680</v>
      </c>
      <c r="R70" s="23" t="s">
        <v>681</v>
      </c>
      <c r="S70" s="8" t="s">
        <v>683</v>
      </c>
      <c r="T70" s="8" t="s">
        <v>683</v>
      </c>
      <c r="U70" s="23" t="s">
        <v>680</v>
      </c>
      <c r="V70" s="23" t="s">
        <v>681</v>
      </c>
      <c r="W70" s="8" t="s">
        <v>110</v>
      </c>
      <c r="X70" s="8" t="s">
        <v>683</v>
      </c>
      <c r="Y70" s="23" t="s">
        <v>680</v>
      </c>
      <c r="Z70" s="23" t="s">
        <v>681</v>
      </c>
      <c r="AA70" s="8" t="s">
        <v>110</v>
      </c>
      <c r="AB70" s="8" t="s">
        <v>683</v>
      </c>
      <c r="AC70" s="12" t="s">
        <v>727</v>
      </c>
      <c r="AD70" s="12" t="s">
        <v>728</v>
      </c>
    </row>
    <row r="71" spans="1:30" ht="25.5" x14ac:dyDescent="0.25">
      <c r="A71" s="17" t="s">
        <v>529</v>
      </c>
      <c r="B71" s="8" t="s">
        <v>20</v>
      </c>
      <c r="C71" s="12" t="s">
        <v>530</v>
      </c>
      <c r="D71" s="12" t="s">
        <v>679</v>
      </c>
      <c r="E71" s="23" t="s">
        <v>680</v>
      </c>
      <c r="F71" s="23" t="s">
        <v>681</v>
      </c>
      <c r="G71" s="8" t="s">
        <v>110</v>
      </c>
      <c r="H71" s="8" t="s">
        <v>683</v>
      </c>
      <c r="I71" s="23" t="s">
        <v>680</v>
      </c>
      <c r="J71" s="23" t="s">
        <v>681</v>
      </c>
      <c r="K71" s="8" t="s">
        <v>110</v>
      </c>
      <c r="L71" s="8" t="s">
        <v>683</v>
      </c>
      <c r="M71" s="23" t="s">
        <v>680</v>
      </c>
      <c r="N71" s="23" t="s">
        <v>681</v>
      </c>
      <c r="O71" s="8" t="s">
        <v>683</v>
      </c>
      <c r="P71" s="8" t="s">
        <v>683</v>
      </c>
      <c r="Q71" s="23" t="s">
        <v>680</v>
      </c>
      <c r="R71" s="23" t="s">
        <v>681</v>
      </c>
      <c r="S71" s="8" t="s">
        <v>683</v>
      </c>
      <c r="T71" s="8" t="s">
        <v>683</v>
      </c>
      <c r="U71" s="23" t="s">
        <v>680</v>
      </c>
      <c r="V71" s="23" t="s">
        <v>681</v>
      </c>
      <c r="W71" s="8" t="s">
        <v>110</v>
      </c>
      <c r="X71" s="8" t="s">
        <v>683</v>
      </c>
      <c r="Y71" s="23" t="s">
        <v>680</v>
      </c>
      <c r="Z71" s="23" t="s">
        <v>681</v>
      </c>
      <c r="AA71" s="8" t="s">
        <v>110</v>
      </c>
      <c r="AB71" s="8" t="s">
        <v>683</v>
      </c>
      <c r="AC71" s="12" t="s">
        <v>729</v>
      </c>
      <c r="AD71" s="12" t="s">
        <v>729</v>
      </c>
    </row>
    <row r="72" spans="1:30" ht="25.5" x14ac:dyDescent="0.25">
      <c r="A72" s="17" t="s">
        <v>536</v>
      </c>
      <c r="B72" s="8" t="s">
        <v>20</v>
      </c>
      <c r="C72" s="12" t="s">
        <v>537</v>
      </c>
      <c r="D72" s="12" t="s">
        <v>679</v>
      </c>
      <c r="E72" s="23" t="s">
        <v>680</v>
      </c>
      <c r="F72" s="23" t="s">
        <v>681</v>
      </c>
      <c r="G72" s="8" t="s">
        <v>110</v>
      </c>
      <c r="H72" s="8" t="s">
        <v>110</v>
      </c>
      <c r="I72" s="23" t="s">
        <v>680</v>
      </c>
      <c r="J72" s="23" t="s">
        <v>681</v>
      </c>
      <c r="K72" s="8" t="s">
        <v>110</v>
      </c>
      <c r="L72" s="8" t="s">
        <v>110</v>
      </c>
      <c r="M72" s="23" t="s">
        <v>680</v>
      </c>
      <c r="N72" s="23" t="s">
        <v>681</v>
      </c>
      <c r="O72" s="8" t="s">
        <v>683</v>
      </c>
      <c r="P72" s="8" t="s">
        <v>110</v>
      </c>
      <c r="Q72" s="23" t="s">
        <v>680</v>
      </c>
      <c r="R72" s="23" t="s">
        <v>681</v>
      </c>
      <c r="S72" s="8" t="s">
        <v>683</v>
      </c>
      <c r="T72" s="8" t="s">
        <v>110</v>
      </c>
      <c r="U72" s="23" t="s">
        <v>680</v>
      </c>
      <c r="V72" s="23" t="s">
        <v>681</v>
      </c>
      <c r="W72" s="8" t="s">
        <v>110</v>
      </c>
      <c r="X72" s="8" t="s">
        <v>110</v>
      </c>
      <c r="Y72" s="23" t="s">
        <v>680</v>
      </c>
      <c r="Z72" s="23" t="s">
        <v>681</v>
      </c>
      <c r="AA72" s="8" t="s">
        <v>110</v>
      </c>
      <c r="AB72" s="8" t="s">
        <v>110</v>
      </c>
      <c r="AC72" s="12" t="s">
        <v>730</v>
      </c>
      <c r="AD72" s="12" t="s">
        <v>730</v>
      </c>
    </row>
    <row r="73" spans="1:30" ht="25.5" x14ac:dyDescent="0.25">
      <c r="A73" s="17" t="s">
        <v>542</v>
      </c>
      <c r="B73" s="8" t="s">
        <v>20</v>
      </c>
      <c r="C73" s="12" t="s">
        <v>543</v>
      </c>
      <c r="D73" s="12" t="s">
        <v>679</v>
      </c>
      <c r="E73" s="23" t="s">
        <v>689</v>
      </c>
      <c r="F73" s="23" t="s">
        <v>68</v>
      </c>
      <c r="G73" s="8"/>
      <c r="H73" s="8" t="s">
        <v>683</v>
      </c>
      <c r="I73" s="23" t="s">
        <v>689</v>
      </c>
      <c r="J73" s="23" t="s">
        <v>68</v>
      </c>
      <c r="K73" s="8"/>
      <c r="L73" s="8" t="s">
        <v>683</v>
      </c>
      <c r="M73" s="23" t="s">
        <v>689</v>
      </c>
      <c r="N73" s="23" t="s">
        <v>68</v>
      </c>
      <c r="O73" s="8"/>
      <c r="P73" s="8" t="s">
        <v>683</v>
      </c>
      <c r="Q73" s="23" t="s">
        <v>689</v>
      </c>
      <c r="R73" s="23" t="s">
        <v>68</v>
      </c>
      <c r="S73" s="8"/>
      <c r="T73" s="8" t="s">
        <v>683</v>
      </c>
      <c r="U73" s="23" t="s">
        <v>689</v>
      </c>
      <c r="V73" s="23" t="s">
        <v>68</v>
      </c>
      <c r="W73" s="8"/>
      <c r="X73" s="8" t="s">
        <v>683</v>
      </c>
      <c r="Y73" s="23" t="s">
        <v>689</v>
      </c>
      <c r="Z73" s="23" t="s">
        <v>68</v>
      </c>
      <c r="AA73" s="8"/>
      <c r="AB73" s="8" t="s">
        <v>683</v>
      </c>
      <c r="AC73" s="12" t="s">
        <v>731</v>
      </c>
      <c r="AD73" s="12" t="s">
        <v>731</v>
      </c>
    </row>
    <row r="74" spans="1:30" ht="25.5" x14ac:dyDescent="0.25">
      <c r="A74" s="17" t="s">
        <v>549</v>
      </c>
      <c r="B74" s="8" t="s">
        <v>21</v>
      </c>
      <c r="C74" s="12" t="s">
        <v>550</v>
      </c>
      <c r="D74" s="12" t="s">
        <v>22</v>
      </c>
      <c r="E74" s="23" t="s">
        <v>708</v>
      </c>
      <c r="F74" s="23" t="s">
        <v>732</v>
      </c>
      <c r="G74" s="8"/>
      <c r="H74" s="8"/>
      <c r="I74" s="23" t="s">
        <v>680</v>
      </c>
      <c r="J74" s="23" t="s">
        <v>56</v>
      </c>
      <c r="K74" s="8"/>
      <c r="L74" s="8"/>
      <c r="M74" s="23" t="s">
        <v>680</v>
      </c>
      <c r="N74" s="23" t="s">
        <v>56</v>
      </c>
      <c r="O74" s="8"/>
      <c r="P74" s="8"/>
      <c r="Q74" s="23" t="s">
        <v>708</v>
      </c>
      <c r="R74" s="23" t="s">
        <v>732</v>
      </c>
      <c r="S74" s="8"/>
      <c r="T74" s="8"/>
      <c r="U74" s="23" t="s">
        <v>708</v>
      </c>
      <c r="V74" s="23" t="s">
        <v>732</v>
      </c>
      <c r="W74" s="8"/>
      <c r="X74" s="8"/>
      <c r="Y74" s="23" t="s">
        <v>708</v>
      </c>
      <c r="Z74" s="23" t="s">
        <v>732</v>
      </c>
      <c r="AA74" s="8"/>
      <c r="AB74" s="8"/>
      <c r="AC74" s="12" t="s">
        <v>733</v>
      </c>
      <c r="AD74" s="12" t="s">
        <v>733</v>
      </c>
    </row>
    <row r="75" spans="1:30" ht="25.5" x14ac:dyDescent="0.25">
      <c r="A75" s="17" t="s">
        <v>554</v>
      </c>
      <c r="B75" s="8" t="s">
        <v>21</v>
      </c>
      <c r="C75" s="12" t="s">
        <v>555</v>
      </c>
      <c r="D75" s="12" t="s">
        <v>22</v>
      </c>
      <c r="E75" s="23" t="s">
        <v>708</v>
      </c>
      <c r="F75" s="23" t="s">
        <v>732</v>
      </c>
      <c r="G75" s="8"/>
      <c r="H75" s="8"/>
      <c r="I75" s="23" t="s">
        <v>708</v>
      </c>
      <c r="J75" s="23" t="s">
        <v>732</v>
      </c>
      <c r="K75" s="8"/>
      <c r="L75" s="8"/>
      <c r="M75" s="23" t="s">
        <v>708</v>
      </c>
      <c r="N75" s="23" t="s">
        <v>732</v>
      </c>
      <c r="O75" s="8"/>
      <c r="P75" s="8"/>
      <c r="Q75" s="23" t="s">
        <v>708</v>
      </c>
      <c r="R75" s="23" t="s">
        <v>732</v>
      </c>
      <c r="S75" s="8"/>
      <c r="T75" s="8"/>
      <c r="U75" s="23" t="s">
        <v>708</v>
      </c>
      <c r="V75" s="23" t="s">
        <v>732</v>
      </c>
      <c r="W75" s="8"/>
      <c r="X75" s="8"/>
      <c r="Y75" s="23" t="s">
        <v>708</v>
      </c>
      <c r="Z75" s="23" t="s">
        <v>732</v>
      </c>
      <c r="AA75" s="8"/>
      <c r="AB75" s="8"/>
      <c r="AC75" s="12" t="s">
        <v>733</v>
      </c>
      <c r="AD75" s="12" t="s">
        <v>733</v>
      </c>
    </row>
    <row r="76" spans="1:30" ht="25.5" x14ac:dyDescent="0.25">
      <c r="A76" s="17" t="s">
        <v>556</v>
      </c>
      <c r="B76" s="8" t="s">
        <v>16</v>
      </c>
      <c r="C76" s="12" t="s">
        <v>557</v>
      </c>
      <c r="D76" s="12" t="s">
        <v>679</v>
      </c>
      <c r="E76" s="23" t="s">
        <v>680</v>
      </c>
      <c r="F76" s="23" t="s">
        <v>50</v>
      </c>
      <c r="G76" s="8" t="s">
        <v>683</v>
      </c>
      <c r="H76" s="8" t="s">
        <v>683</v>
      </c>
      <c r="I76" s="23" t="s">
        <v>680</v>
      </c>
      <c r="J76" s="23" t="s">
        <v>50</v>
      </c>
      <c r="K76" s="8" t="s">
        <v>682</v>
      </c>
      <c r="L76" s="8" t="s">
        <v>683</v>
      </c>
      <c r="M76" s="23" t="s">
        <v>680</v>
      </c>
      <c r="N76" s="23" t="s">
        <v>50</v>
      </c>
      <c r="O76" s="8" t="s">
        <v>682</v>
      </c>
      <c r="P76" s="8" t="s">
        <v>683</v>
      </c>
      <c r="Q76" s="23" t="s">
        <v>697</v>
      </c>
      <c r="R76" s="23" t="s">
        <v>69</v>
      </c>
      <c r="S76" s="8"/>
      <c r="T76" s="8" t="s">
        <v>683</v>
      </c>
      <c r="U76" s="23" t="s">
        <v>680</v>
      </c>
      <c r="V76" s="23" t="s">
        <v>50</v>
      </c>
      <c r="W76" s="8" t="s">
        <v>682</v>
      </c>
      <c r="X76" s="8" t="s">
        <v>683</v>
      </c>
      <c r="Y76" s="23" t="s">
        <v>680</v>
      </c>
      <c r="Z76" s="23" t="s">
        <v>50</v>
      </c>
      <c r="AA76" s="8" t="s">
        <v>682</v>
      </c>
      <c r="AB76" s="8" t="s">
        <v>683</v>
      </c>
      <c r="AC76" s="12" t="s">
        <v>734</v>
      </c>
      <c r="AD76" s="12" t="s">
        <v>734</v>
      </c>
    </row>
    <row r="77" spans="1:30" ht="38.25" x14ac:dyDescent="0.25">
      <c r="A77" s="17" t="s">
        <v>561</v>
      </c>
      <c r="B77" s="8" t="s">
        <v>21</v>
      </c>
      <c r="C77" s="12" t="s">
        <v>562</v>
      </c>
      <c r="D77" s="12" t="s">
        <v>22</v>
      </c>
      <c r="E77" s="23" t="s">
        <v>708</v>
      </c>
      <c r="F77" s="23" t="s">
        <v>732</v>
      </c>
      <c r="G77" s="8"/>
      <c r="H77" s="8"/>
      <c r="I77" s="23" t="s">
        <v>708</v>
      </c>
      <c r="J77" s="23" t="s">
        <v>732</v>
      </c>
      <c r="K77" s="8"/>
      <c r="L77" s="8"/>
      <c r="M77" s="23" t="s">
        <v>708</v>
      </c>
      <c r="N77" s="23" t="s">
        <v>732</v>
      </c>
      <c r="O77" s="8"/>
      <c r="P77" s="8"/>
      <c r="Q77" s="23" t="s">
        <v>708</v>
      </c>
      <c r="R77" s="23" t="s">
        <v>732</v>
      </c>
      <c r="S77" s="8"/>
      <c r="T77" s="8"/>
      <c r="U77" s="23" t="s">
        <v>708</v>
      </c>
      <c r="V77" s="23" t="s">
        <v>732</v>
      </c>
      <c r="W77" s="8"/>
      <c r="X77" s="8"/>
      <c r="Y77" s="23" t="s">
        <v>708</v>
      </c>
      <c r="Z77" s="23" t="s">
        <v>732</v>
      </c>
      <c r="AA77" s="8"/>
      <c r="AB77" s="8"/>
      <c r="AC77" s="12" t="s">
        <v>733</v>
      </c>
      <c r="AD77" s="12" t="s">
        <v>733</v>
      </c>
    </row>
    <row r="78" spans="1:30" ht="25.5" x14ac:dyDescent="0.25">
      <c r="A78" s="17" t="s">
        <v>564</v>
      </c>
      <c r="B78" s="8" t="s">
        <v>21</v>
      </c>
      <c r="C78" s="12" t="s">
        <v>565</v>
      </c>
      <c r="D78" s="12" t="s">
        <v>22</v>
      </c>
      <c r="E78" s="23" t="s">
        <v>680</v>
      </c>
      <c r="F78" s="23" t="s">
        <v>56</v>
      </c>
      <c r="G78" s="8"/>
      <c r="H78" s="8"/>
      <c r="I78" s="23" t="s">
        <v>680</v>
      </c>
      <c r="J78" s="23" t="s">
        <v>56</v>
      </c>
      <c r="K78" s="8"/>
      <c r="L78" s="8"/>
      <c r="M78" s="23" t="s">
        <v>680</v>
      </c>
      <c r="N78" s="23" t="s">
        <v>56</v>
      </c>
      <c r="O78" s="8"/>
      <c r="P78" s="8"/>
      <c r="Q78" s="23" t="s">
        <v>680</v>
      </c>
      <c r="R78" s="23" t="s">
        <v>56</v>
      </c>
      <c r="S78" s="8"/>
      <c r="T78" s="8"/>
      <c r="U78" s="23" t="s">
        <v>680</v>
      </c>
      <c r="V78" s="23" t="s">
        <v>56</v>
      </c>
      <c r="W78" s="8"/>
      <c r="X78" s="8"/>
      <c r="Y78" s="23" t="s">
        <v>680</v>
      </c>
      <c r="Z78" s="23" t="s">
        <v>56</v>
      </c>
      <c r="AA78" s="8"/>
      <c r="AB78" s="8"/>
      <c r="AC78" s="12" t="s">
        <v>735</v>
      </c>
      <c r="AD78" s="12" t="s">
        <v>736</v>
      </c>
    </row>
    <row r="79" spans="1:30" ht="38.25" x14ac:dyDescent="0.25">
      <c r="A79" s="17" t="s">
        <v>567</v>
      </c>
      <c r="B79" s="8" t="s">
        <v>21</v>
      </c>
      <c r="C79" s="12" t="s">
        <v>568</v>
      </c>
      <c r="D79" s="12" t="s">
        <v>22</v>
      </c>
      <c r="E79" s="23" t="s">
        <v>697</v>
      </c>
      <c r="F79" s="23" t="s">
        <v>732</v>
      </c>
      <c r="G79" s="8"/>
      <c r="H79" s="8"/>
      <c r="I79" s="23" t="s">
        <v>708</v>
      </c>
      <c r="J79" s="23" t="s">
        <v>732</v>
      </c>
      <c r="K79" s="8"/>
      <c r="L79" s="8"/>
      <c r="M79" s="23" t="s">
        <v>708</v>
      </c>
      <c r="N79" s="23" t="s">
        <v>732</v>
      </c>
      <c r="O79" s="8"/>
      <c r="P79" s="8"/>
      <c r="Q79" s="23" t="s">
        <v>680</v>
      </c>
      <c r="R79" s="23" t="s">
        <v>56</v>
      </c>
      <c r="S79" s="8"/>
      <c r="T79" s="8"/>
      <c r="U79" s="23" t="s">
        <v>680</v>
      </c>
      <c r="V79" s="23" t="s">
        <v>56</v>
      </c>
      <c r="W79" s="8"/>
      <c r="X79" s="8"/>
      <c r="Y79" s="23" t="s">
        <v>708</v>
      </c>
      <c r="Z79" s="23" t="s">
        <v>732</v>
      </c>
      <c r="AA79" s="8"/>
      <c r="AB79" s="8"/>
      <c r="AC79" s="12" t="s">
        <v>737</v>
      </c>
      <c r="AD79" s="12" t="s">
        <v>733</v>
      </c>
    </row>
    <row r="80" spans="1:30" ht="25.5" x14ac:dyDescent="0.25">
      <c r="A80" s="17" t="s">
        <v>571</v>
      </c>
      <c r="B80" s="8" t="s">
        <v>21</v>
      </c>
      <c r="C80" s="12" t="s">
        <v>572</v>
      </c>
      <c r="D80" s="12" t="s">
        <v>22</v>
      </c>
      <c r="E80" s="23" t="s">
        <v>680</v>
      </c>
      <c r="F80" s="23" t="s">
        <v>56</v>
      </c>
      <c r="G80" s="8"/>
      <c r="H80" s="8"/>
      <c r="I80" s="23" t="s">
        <v>738</v>
      </c>
      <c r="J80" s="23" t="s">
        <v>732</v>
      </c>
      <c r="K80" s="8"/>
      <c r="L80" s="8"/>
      <c r="M80" s="23" t="s">
        <v>680</v>
      </c>
      <c r="N80" s="23" t="s">
        <v>732</v>
      </c>
      <c r="O80" s="8"/>
      <c r="P80" s="8"/>
      <c r="Q80" s="23" t="s">
        <v>680</v>
      </c>
      <c r="R80" s="23" t="s">
        <v>56</v>
      </c>
      <c r="S80" s="8"/>
      <c r="T80" s="8"/>
      <c r="U80" s="23" t="s">
        <v>738</v>
      </c>
      <c r="V80" s="23" t="s">
        <v>732</v>
      </c>
      <c r="W80" s="8"/>
      <c r="X80" s="8"/>
      <c r="Y80" s="23" t="s">
        <v>738</v>
      </c>
      <c r="Z80" s="23" t="s">
        <v>732</v>
      </c>
      <c r="AA80" s="8"/>
      <c r="AB80" s="8"/>
      <c r="AC80" s="12" t="s">
        <v>739</v>
      </c>
      <c r="AD80" s="12" t="s">
        <v>739</v>
      </c>
    </row>
    <row r="81" spans="1:30" ht="25.5" x14ac:dyDescent="0.25">
      <c r="A81" s="17" t="s">
        <v>574</v>
      </c>
      <c r="B81" s="8" t="s">
        <v>21</v>
      </c>
      <c r="C81" s="12" t="s">
        <v>575</v>
      </c>
      <c r="D81" s="12" t="s">
        <v>22</v>
      </c>
      <c r="E81" s="23" t="s">
        <v>680</v>
      </c>
      <c r="F81" s="23" t="s">
        <v>56</v>
      </c>
      <c r="G81" s="8"/>
      <c r="H81" s="8"/>
      <c r="I81" s="23" t="s">
        <v>680</v>
      </c>
      <c r="J81" s="23" t="s">
        <v>56</v>
      </c>
      <c r="K81" s="8"/>
      <c r="L81" s="8"/>
      <c r="M81" s="23" t="s">
        <v>697</v>
      </c>
      <c r="N81" s="23" t="s">
        <v>732</v>
      </c>
      <c r="O81" s="8"/>
      <c r="P81" s="8"/>
      <c r="Q81" s="23" t="s">
        <v>680</v>
      </c>
      <c r="R81" s="23" t="s">
        <v>56</v>
      </c>
      <c r="S81" s="8"/>
      <c r="T81" s="8"/>
      <c r="U81" s="23" t="s">
        <v>680</v>
      </c>
      <c r="V81" s="23" t="s">
        <v>56</v>
      </c>
      <c r="W81" s="8"/>
      <c r="X81" s="8"/>
      <c r="Y81" s="23" t="s">
        <v>697</v>
      </c>
      <c r="Z81" s="23" t="s">
        <v>732</v>
      </c>
      <c r="AA81" s="8"/>
      <c r="AB81" s="8"/>
      <c r="AC81" s="12" t="s">
        <v>740</v>
      </c>
      <c r="AD81" s="12" t="s">
        <v>741</v>
      </c>
    </row>
    <row r="82" spans="1:30" ht="25.5" x14ac:dyDescent="0.25">
      <c r="A82" s="17" t="s">
        <v>578</v>
      </c>
      <c r="B82" s="8" t="s">
        <v>21</v>
      </c>
      <c r="C82" s="12" t="s">
        <v>579</v>
      </c>
      <c r="D82" s="12" t="s">
        <v>22</v>
      </c>
      <c r="E82" s="23" t="s">
        <v>708</v>
      </c>
      <c r="F82" s="23" t="s">
        <v>732</v>
      </c>
      <c r="G82" s="8"/>
      <c r="H82" s="8"/>
      <c r="I82" s="23" t="s">
        <v>680</v>
      </c>
      <c r="J82" s="23" t="s">
        <v>56</v>
      </c>
      <c r="K82" s="8"/>
      <c r="L82" s="8"/>
      <c r="M82" s="23" t="s">
        <v>680</v>
      </c>
      <c r="N82" s="23" t="s">
        <v>56</v>
      </c>
      <c r="O82" s="8"/>
      <c r="P82" s="8"/>
      <c r="Q82" s="23" t="s">
        <v>680</v>
      </c>
      <c r="R82" s="23" t="s">
        <v>732</v>
      </c>
      <c r="S82" s="8"/>
      <c r="T82" s="8"/>
      <c r="U82" s="23" t="s">
        <v>680</v>
      </c>
      <c r="V82" s="23" t="s">
        <v>732</v>
      </c>
      <c r="W82" s="8"/>
      <c r="X82" s="8"/>
      <c r="Y82" s="23" t="s">
        <v>680</v>
      </c>
      <c r="Z82" s="23" t="s">
        <v>732</v>
      </c>
      <c r="AA82" s="8"/>
      <c r="AB82" s="8"/>
      <c r="AC82" s="12" t="s">
        <v>742</v>
      </c>
      <c r="AD82" s="12" t="s">
        <v>742</v>
      </c>
    </row>
    <row r="83" spans="1:30" ht="25.5" x14ac:dyDescent="0.25">
      <c r="A83" s="17" t="s">
        <v>581</v>
      </c>
      <c r="B83" s="8" t="s">
        <v>21</v>
      </c>
      <c r="C83" s="12" t="s">
        <v>582</v>
      </c>
      <c r="D83" s="12" t="s">
        <v>22</v>
      </c>
      <c r="E83" s="23" t="s">
        <v>691</v>
      </c>
      <c r="F83" s="23" t="s">
        <v>732</v>
      </c>
      <c r="G83" s="8"/>
      <c r="H83" s="8"/>
      <c r="I83" s="23" t="s">
        <v>691</v>
      </c>
      <c r="J83" s="23" t="s">
        <v>732</v>
      </c>
      <c r="K83" s="8"/>
      <c r="L83" s="8"/>
      <c r="M83" s="23" t="s">
        <v>708</v>
      </c>
      <c r="N83" s="23" t="s">
        <v>732</v>
      </c>
      <c r="O83" s="8"/>
      <c r="P83" s="8"/>
      <c r="Q83" s="23" t="s">
        <v>708</v>
      </c>
      <c r="R83" s="23" t="s">
        <v>732</v>
      </c>
      <c r="S83" s="8"/>
      <c r="T83" s="8"/>
      <c r="U83" s="23" t="s">
        <v>691</v>
      </c>
      <c r="V83" s="23" t="s">
        <v>732</v>
      </c>
      <c r="W83" s="8"/>
      <c r="X83" s="8"/>
      <c r="Y83" s="23" t="s">
        <v>691</v>
      </c>
      <c r="Z83" s="23" t="s">
        <v>732</v>
      </c>
      <c r="AA83" s="8"/>
      <c r="AB83" s="8"/>
      <c r="AC83" s="12" t="s">
        <v>743</v>
      </c>
      <c r="AD83" s="12" t="s">
        <v>743</v>
      </c>
    </row>
    <row r="84" spans="1:30" ht="25.5" x14ac:dyDescent="0.25">
      <c r="A84" s="17" t="s">
        <v>584</v>
      </c>
      <c r="B84" s="8" t="s">
        <v>21</v>
      </c>
      <c r="C84" s="12" t="s">
        <v>585</v>
      </c>
      <c r="D84" s="12" t="s">
        <v>22</v>
      </c>
      <c r="E84" s="23" t="s">
        <v>708</v>
      </c>
      <c r="F84" s="23" t="s">
        <v>732</v>
      </c>
      <c r="G84" s="8"/>
      <c r="H84" s="8"/>
      <c r="I84" s="23" t="s">
        <v>680</v>
      </c>
      <c r="J84" s="23" t="s">
        <v>56</v>
      </c>
      <c r="K84" s="8"/>
      <c r="L84" s="8"/>
      <c r="M84" s="23" t="s">
        <v>708</v>
      </c>
      <c r="N84" s="23" t="s">
        <v>732</v>
      </c>
      <c r="O84" s="8"/>
      <c r="P84" s="8"/>
      <c r="Q84" s="23" t="s">
        <v>708</v>
      </c>
      <c r="R84" s="23" t="s">
        <v>732</v>
      </c>
      <c r="S84" s="8"/>
      <c r="T84" s="8"/>
      <c r="U84" s="23" t="s">
        <v>708</v>
      </c>
      <c r="V84" s="23" t="s">
        <v>732</v>
      </c>
      <c r="W84" s="8"/>
      <c r="X84" s="8"/>
      <c r="Y84" s="23" t="s">
        <v>708</v>
      </c>
      <c r="Z84" s="23" t="s">
        <v>732</v>
      </c>
      <c r="AA84" s="8"/>
      <c r="AB84" s="8"/>
      <c r="AC84" s="12" t="s">
        <v>733</v>
      </c>
      <c r="AD84" s="12" t="s">
        <v>733</v>
      </c>
    </row>
    <row r="85" spans="1:30" ht="25.5" x14ac:dyDescent="0.25">
      <c r="A85" s="17" t="s">
        <v>587</v>
      </c>
      <c r="B85" s="8" t="s">
        <v>21</v>
      </c>
      <c r="C85" s="12" t="s">
        <v>588</v>
      </c>
      <c r="D85" s="12" t="s">
        <v>22</v>
      </c>
      <c r="E85" s="23" t="s">
        <v>680</v>
      </c>
      <c r="F85" s="23" t="s">
        <v>56</v>
      </c>
      <c r="G85" s="8"/>
      <c r="H85" s="8"/>
      <c r="I85" s="23" t="s">
        <v>680</v>
      </c>
      <c r="J85" s="23" t="s">
        <v>56</v>
      </c>
      <c r="K85" s="8"/>
      <c r="L85" s="8"/>
      <c r="M85" s="23" t="s">
        <v>708</v>
      </c>
      <c r="N85" s="23" t="s">
        <v>732</v>
      </c>
      <c r="O85" s="8"/>
      <c r="P85" s="8"/>
      <c r="Q85" s="23" t="s">
        <v>708</v>
      </c>
      <c r="R85" s="23" t="s">
        <v>732</v>
      </c>
      <c r="S85" s="8"/>
      <c r="T85" s="8"/>
      <c r="U85" s="23" t="s">
        <v>680</v>
      </c>
      <c r="V85" s="23" t="s">
        <v>56</v>
      </c>
      <c r="W85" s="8"/>
      <c r="X85" s="8"/>
      <c r="Y85" s="23" t="s">
        <v>680</v>
      </c>
      <c r="Z85" s="23" t="s">
        <v>56</v>
      </c>
      <c r="AA85" s="8"/>
      <c r="AB85" s="8"/>
      <c r="AC85" s="12" t="s">
        <v>744</v>
      </c>
      <c r="AD85" s="12" t="s">
        <v>744</v>
      </c>
    </row>
    <row r="86" spans="1:30" ht="25.5" x14ac:dyDescent="0.25">
      <c r="A86" s="17" t="s">
        <v>590</v>
      </c>
      <c r="B86" s="8" t="s">
        <v>21</v>
      </c>
      <c r="C86" s="12" t="s">
        <v>591</v>
      </c>
      <c r="D86" s="12" t="s">
        <v>22</v>
      </c>
      <c r="E86" s="23" t="s">
        <v>680</v>
      </c>
      <c r="F86" s="23" t="s">
        <v>56</v>
      </c>
      <c r="G86" s="8"/>
      <c r="H86" s="8"/>
      <c r="I86" s="23" t="s">
        <v>680</v>
      </c>
      <c r="J86" s="23" t="s">
        <v>56</v>
      </c>
      <c r="K86" s="8"/>
      <c r="L86" s="8"/>
      <c r="M86" s="23" t="s">
        <v>680</v>
      </c>
      <c r="N86" s="23" t="s">
        <v>56</v>
      </c>
      <c r="O86" s="8"/>
      <c r="P86" s="8"/>
      <c r="Q86" s="23" t="s">
        <v>680</v>
      </c>
      <c r="R86" s="23" t="s">
        <v>56</v>
      </c>
      <c r="S86" s="8"/>
      <c r="T86" s="8"/>
      <c r="U86" s="23" t="s">
        <v>680</v>
      </c>
      <c r="V86" s="23" t="s">
        <v>56</v>
      </c>
      <c r="W86" s="8"/>
      <c r="X86" s="8"/>
      <c r="Y86" s="23" t="s">
        <v>680</v>
      </c>
      <c r="Z86" s="23" t="s">
        <v>56</v>
      </c>
      <c r="AA86" s="8"/>
      <c r="AB86" s="8"/>
      <c r="AC86" s="12" t="s">
        <v>745</v>
      </c>
      <c r="AD86" s="12" t="s">
        <v>745</v>
      </c>
    </row>
    <row r="87" spans="1:30" ht="25.5" x14ac:dyDescent="0.25">
      <c r="A87" s="17" t="s">
        <v>593</v>
      </c>
      <c r="B87" s="8" t="s">
        <v>21</v>
      </c>
      <c r="C87" s="12" t="s">
        <v>594</v>
      </c>
      <c r="D87" s="12" t="s">
        <v>22</v>
      </c>
      <c r="E87" s="23" t="s">
        <v>708</v>
      </c>
      <c r="F87" s="23" t="s">
        <v>732</v>
      </c>
      <c r="G87" s="8"/>
      <c r="H87" s="8"/>
      <c r="I87" s="23" t="s">
        <v>708</v>
      </c>
      <c r="J87" s="23" t="s">
        <v>732</v>
      </c>
      <c r="K87" s="8"/>
      <c r="L87" s="8"/>
      <c r="M87" s="23" t="s">
        <v>708</v>
      </c>
      <c r="N87" s="23" t="s">
        <v>732</v>
      </c>
      <c r="O87" s="8"/>
      <c r="P87" s="8"/>
      <c r="Q87" s="23" t="s">
        <v>708</v>
      </c>
      <c r="R87" s="23" t="s">
        <v>732</v>
      </c>
      <c r="S87" s="8"/>
      <c r="T87" s="8"/>
      <c r="U87" s="23" t="s">
        <v>708</v>
      </c>
      <c r="V87" s="23" t="s">
        <v>732</v>
      </c>
      <c r="W87" s="8"/>
      <c r="X87" s="8"/>
      <c r="Y87" s="23" t="s">
        <v>708</v>
      </c>
      <c r="Z87" s="23" t="s">
        <v>732</v>
      </c>
      <c r="AA87" s="8"/>
      <c r="AB87" s="8"/>
      <c r="AC87" s="12" t="s">
        <v>733</v>
      </c>
      <c r="AD87" s="12" t="s">
        <v>733</v>
      </c>
    </row>
    <row r="88" spans="1:30" ht="25.5" x14ac:dyDescent="0.25">
      <c r="A88" s="17" t="s">
        <v>595</v>
      </c>
      <c r="B88" s="8" t="s">
        <v>21</v>
      </c>
      <c r="C88" s="12" t="s">
        <v>596</v>
      </c>
      <c r="D88" s="12" t="s">
        <v>22</v>
      </c>
      <c r="E88" s="23" t="s">
        <v>708</v>
      </c>
      <c r="F88" s="23" t="s">
        <v>732</v>
      </c>
      <c r="G88" s="8"/>
      <c r="H88" s="8"/>
      <c r="I88" s="23" t="s">
        <v>708</v>
      </c>
      <c r="J88" s="23" t="s">
        <v>732</v>
      </c>
      <c r="K88" s="8"/>
      <c r="L88" s="8"/>
      <c r="M88" s="23" t="s">
        <v>708</v>
      </c>
      <c r="N88" s="23" t="s">
        <v>732</v>
      </c>
      <c r="O88" s="8"/>
      <c r="P88" s="8"/>
      <c r="Q88" s="23" t="s">
        <v>708</v>
      </c>
      <c r="R88" s="23" t="s">
        <v>732</v>
      </c>
      <c r="S88" s="8"/>
      <c r="T88" s="8"/>
      <c r="U88" s="23" t="s">
        <v>708</v>
      </c>
      <c r="V88" s="23" t="s">
        <v>732</v>
      </c>
      <c r="W88" s="8"/>
      <c r="X88" s="8"/>
      <c r="Y88" s="23" t="s">
        <v>708</v>
      </c>
      <c r="Z88" s="23" t="s">
        <v>732</v>
      </c>
      <c r="AA88" s="8"/>
      <c r="AB88" s="8"/>
      <c r="AC88" s="12" t="s">
        <v>733</v>
      </c>
      <c r="AD88" s="12" t="s">
        <v>733</v>
      </c>
    </row>
    <row r="89" spans="1:30" ht="25.5" x14ac:dyDescent="0.25">
      <c r="A89" s="17" t="s">
        <v>597</v>
      </c>
      <c r="B89" s="8" t="s">
        <v>23</v>
      </c>
      <c r="C89" s="12" t="s">
        <v>598</v>
      </c>
      <c r="D89" s="12" t="s">
        <v>24</v>
      </c>
      <c r="E89" s="23" t="s">
        <v>689</v>
      </c>
      <c r="F89" s="23" t="s">
        <v>732</v>
      </c>
      <c r="G89" s="8"/>
      <c r="H89" s="8"/>
      <c r="I89" s="23" t="s">
        <v>689</v>
      </c>
      <c r="J89" s="23" t="s">
        <v>732</v>
      </c>
      <c r="K89" s="8"/>
      <c r="L89" s="8"/>
      <c r="M89" s="23" t="s">
        <v>689</v>
      </c>
      <c r="N89" s="23" t="s">
        <v>732</v>
      </c>
      <c r="O89" s="8"/>
      <c r="P89" s="8"/>
      <c r="Q89" s="23" t="s">
        <v>689</v>
      </c>
      <c r="R89" s="23" t="s">
        <v>732</v>
      </c>
      <c r="S89" s="8"/>
      <c r="T89" s="8"/>
      <c r="U89" s="23" t="s">
        <v>689</v>
      </c>
      <c r="V89" s="23" t="s">
        <v>732</v>
      </c>
      <c r="W89" s="8"/>
      <c r="X89" s="8"/>
      <c r="Y89" s="23" t="s">
        <v>689</v>
      </c>
      <c r="Z89" s="23" t="s">
        <v>732</v>
      </c>
      <c r="AA89" s="8"/>
      <c r="AB89" s="8"/>
      <c r="AC89" s="12" t="s">
        <v>746</v>
      </c>
      <c r="AD89" s="12" t="s">
        <v>746</v>
      </c>
    </row>
    <row r="90" spans="1:30" ht="25.5" x14ac:dyDescent="0.25">
      <c r="A90" s="17" t="s">
        <v>601</v>
      </c>
      <c r="B90" s="8" t="s">
        <v>23</v>
      </c>
      <c r="C90" s="12" t="s">
        <v>602</v>
      </c>
      <c r="D90" s="12" t="s">
        <v>24</v>
      </c>
      <c r="E90" s="23" t="s">
        <v>689</v>
      </c>
      <c r="F90" s="23" t="s">
        <v>732</v>
      </c>
      <c r="G90" s="8"/>
      <c r="H90" s="8"/>
      <c r="I90" s="23" t="s">
        <v>689</v>
      </c>
      <c r="J90" s="23" t="s">
        <v>732</v>
      </c>
      <c r="K90" s="8"/>
      <c r="L90" s="8"/>
      <c r="M90" s="23" t="s">
        <v>689</v>
      </c>
      <c r="N90" s="23" t="s">
        <v>732</v>
      </c>
      <c r="O90" s="8"/>
      <c r="P90" s="8"/>
      <c r="Q90" s="23" t="s">
        <v>689</v>
      </c>
      <c r="R90" s="23" t="s">
        <v>732</v>
      </c>
      <c r="S90" s="8"/>
      <c r="T90" s="8"/>
      <c r="U90" s="23" t="s">
        <v>689</v>
      </c>
      <c r="V90" s="23" t="s">
        <v>732</v>
      </c>
      <c r="W90" s="8"/>
      <c r="X90" s="8"/>
      <c r="Y90" s="23" t="s">
        <v>689</v>
      </c>
      <c r="Z90" s="23" t="s">
        <v>732</v>
      </c>
      <c r="AA90" s="8"/>
      <c r="AB90" s="8"/>
      <c r="AC90" s="12" t="s">
        <v>746</v>
      </c>
      <c r="AD90" s="12" t="s">
        <v>746</v>
      </c>
    </row>
    <row r="91" spans="1:30" ht="25.5" x14ac:dyDescent="0.25">
      <c r="A91" s="17" t="s">
        <v>603</v>
      </c>
      <c r="B91" s="8" t="s">
        <v>23</v>
      </c>
      <c r="C91" s="12" t="s">
        <v>604</v>
      </c>
      <c r="D91" s="12" t="s">
        <v>24</v>
      </c>
      <c r="E91" s="23" t="s">
        <v>689</v>
      </c>
      <c r="F91" s="23" t="s">
        <v>732</v>
      </c>
      <c r="G91" s="8"/>
      <c r="H91" s="8"/>
      <c r="I91" s="23" t="s">
        <v>689</v>
      </c>
      <c r="J91" s="23" t="s">
        <v>732</v>
      </c>
      <c r="K91" s="8"/>
      <c r="L91" s="8"/>
      <c r="M91" s="23" t="s">
        <v>689</v>
      </c>
      <c r="N91" s="23" t="s">
        <v>732</v>
      </c>
      <c r="O91" s="8"/>
      <c r="P91" s="8"/>
      <c r="Q91" s="23" t="s">
        <v>689</v>
      </c>
      <c r="R91" s="23" t="s">
        <v>732</v>
      </c>
      <c r="S91" s="8"/>
      <c r="T91" s="8"/>
      <c r="U91" s="23" t="s">
        <v>689</v>
      </c>
      <c r="V91" s="23" t="s">
        <v>732</v>
      </c>
      <c r="W91" s="8"/>
      <c r="X91" s="8"/>
      <c r="Y91" s="23" t="s">
        <v>689</v>
      </c>
      <c r="Z91" s="23" t="s">
        <v>732</v>
      </c>
      <c r="AA91" s="8"/>
      <c r="AB91" s="8"/>
      <c r="AC91" s="12" t="s">
        <v>746</v>
      </c>
      <c r="AD91" s="12" t="s">
        <v>746</v>
      </c>
    </row>
    <row r="92" spans="1:30" ht="25.5" x14ac:dyDescent="0.25">
      <c r="A92" s="17" t="s">
        <v>605</v>
      </c>
      <c r="B92" s="8" t="s">
        <v>23</v>
      </c>
      <c r="C92" s="12" t="s">
        <v>606</v>
      </c>
      <c r="D92" s="12" t="s">
        <v>24</v>
      </c>
      <c r="E92" s="23" t="s">
        <v>689</v>
      </c>
      <c r="F92" s="23" t="s">
        <v>732</v>
      </c>
      <c r="G92" s="8"/>
      <c r="H92" s="8"/>
      <c r="I92" s="23" t="s">
        <v>689</v>
      </c>
      <c r="J92" s="23" t="s">
        <v>732</v>
      </c>
      <c r="K92" s="8"/>
      <c r="L92" s="8"/>
      <c r="M92" s="23" t="s">
        <v>689</v>
      </c>
      <c r="N92" s="23" t="s">
        <v>732</v>
      </c>
      <c r="O92" s="8"/>
      <c r="P92" s="8"/>
      <c r="Q92" s="23" t="s">
        <v>689</v>
      </c>
      <c r="R92" s="23" t="s">
        <v>732</v>
      </c>
      <c r="S92" s="8"/>
      <c r="T92" s="8"/>
      <c r="U92" s="23" t="s">
        <v>689</v>
      </c>
      <c r="V92" s="23" t="s">
        <v>732</v>
      </c>
      <c r="W92" s="8"/>
      <c r="X92" s="8"/>
      <c r="Y92" s="23" t="s">
        <v>689</v>
      </c>
      <c r="Z92" s="23" t="s">
        <v>732</v>
      </c>
      <c r="AA92" s="8"/>
      <c r="AB92" s="8"/>
      <c r="AC92" s="12" t="s">
        <v>746</v>
      </c>
      <c r="AD92" s="12" t="s">
        <v>746</v>
      </c>
    </row>
    <row r="93" spans="1:30" ht="25.5" x14ac:dyDescent="0.25">
      <c r="A93" s="17" t="s">
        <v>607</v>
      </c>
      <c r="B93" s="8" t="s">
        <v>23</v>
      </c>
      <c r="C93" s="12" t="s">
        <v>608</v>
      </c>
      <c r="D93" s="12" t="s">
        <v>24</v>
      </c>
      <c r="E93" s="23" t="s">
        <v>689</v>
      </c>
      <c r="F93" s="23" t="s">
        <v>732</v>
      </c>
      <c r="G93" s="8"/>
      <c r="H93" s="8"/>
      <c r="I93" s="23" t="s">
        <v>689</v>
      </c>
      <c r="J93" s="23" t="s">
        <v>732</v>
      </c>
      <c r="K93" s="8"/>
      <c r="L93" s="8"/>
      <c r="M93" s="23" t="s">
        <v>689</v>
      </c>
      <c r="N93" s="23" t="s">
        <v>732</v>
      </c>
      <c r="O93" s="8"/>
      <c r="P93" s="8"/>
      <c r="Q93" s="23" t="s">
        <v>689</v>
      </c>
      <c r="R93" s="23" t="s">
        <v>732</v>
      </c>
      <c r="S93" s="8"/>
      <c r="T93" s="8"/>
      <c r="U93" s="23" t="s">
        <v>689</v>
      </c>
      <c r="V93" s="23" t="s">
        <v>732</v>
      </c>
      <c r="W93" s="8"/>
      <c r="X93" s="8"/>
      <c r="Y93" s="23" t="s">
        <v>689</v>
      </c>
      <c r="Z93" s="23" t="s">
        <v>732</v>
      </c>
      <c r="AA93" s="8"/>
      <c r="AB93" s="8"/>
      <c r="AC93" s="12" t="s">
        <v>746</v>
      </c>
      <c r="AD93" s="12" t="s">
        <v>746</v>
      </c>
    </row>
    <row r="94" spans="1:30" ht="25.5" x14ac:dyDescent="0.25">
      <c r="A94" s="17" t="s">
        <v>609</v>
      </c>
      <c r="B94" s="8" t="s">
        <v>23</v>
      </c>
      <c r="C94" s="12" t="s">
        <v>610</v>
      </c>
      <c r="D94" s="12" t="s">
        <v>24</v>
      </c>
      <c r="E94" s="23" t="s">
        <v>689</v>
      </c>
      <c r="F94" s="23" t="s">
        <v>732</v>
      </c>
      <c r="G94" s="8"/>
      <c r="H94" s="8"/>
      <c r="I94" s="23" t="s">
        <v>689</v>
      </c>
      <c r="J94" s="23" t="s">
        <v>732</v>
      </c>
      <c r="K94" s="8"/>
      <c r="L94" s="8"/>
      <c r="M94" s="23" t="s">
        <v>689</v>
      </c>
      <c r="N94" s="23" t="s">
        <v>732</v>
      </c>
      <c r="O94" s="8"/>
      <c r="P94" s="8"/>
      <c r="Q94" s="23" t="s">
        <v>689</v>
      </c>
      <c r="R94" s="23" t="s">
        <v>732</v>
      </c>
      <c r="S94" s="8"/>
      <c r="T94" s="8"/>
      <c r="U94" s="23" t="s">
        <v>689</v>
      </c>
      <c r="V94" s="23" t="s">
        <v>732</v>
      </c>
      <c r="W94" s="8"/>
      <c r="X94" s="8"/>
      <c r="Y94" s="23" t="s">
        <v>689</v>
      </c>
      <c r="Z94" s="23" t="s">
        <v>732</v>
      </c>
      <c r="AA94" s="8"/>
      <c r="AB94" s="8"/>
      <c r="AC94" s="12" t="s">
        <v>746</v>
      </c>
      <c r="AD94" s="12" t="s">
        <v>746</v>
      </c>
    </row>
    <row r="95" spans="1:30" ht="25.5" x14ac:dyDescent="0.25">
      <c r="A95" s="17" t="s">
        <v>611</v>
      </c>
      <c r="B95" s="8" t="s">
        <v>23</v>
      </c>
      <c r="C95" s="12" t="s">
        <v>612</v>
      </c>
      <c r="D95" s="12" t="s">
        <v>24</v>
      </c>
      <c r="E95" s="23" t="s">
        <v>689</v>
      </c>
      <c r="F95" s="23" t="s">
        <v>732</v>
      </c>
      <c r="G95" s="8"/>
      <c r="H95" s="8"/>
      <c r="I95" s="23" t="s">
        <v>689</v>
      </c>
      <c r="J95" s="23" t="s">
        <v>732</v>
      </c>
      <c r="K95" s="8"/>
      <c r="L95" s="8"/>
      <c r="M95" s="23" t="s">
        <v>689</v>
      </c>
      <c r="N95" s="23" t="s">
        <v>732</v>
      </c>
      <c r="O95" s="8"/>
      <c r="P95" s="8"/>
      <c r="Q95" s="23" t="s">
        <v>689</v>
      </c>
      <c r="R95" s="23" t="s">
        <v>732</v>
      </c>
      <c r="S95" s="8"/>
      <c r="T95" s="8"/>
      <c r="U95" s="23" t="s">
        <v>689</v>
      </c>
      <c r="V95" s="23" t="s">
        <v>732</v>
      </c>
      <c r="W95" s="8"/>
      <c r="X95" s="8"/>
      <c r="Y95" s="23" t="s">
        <v>689</v>
      </c>
      <c r="Z95" s="23" t="s">
        <v>732</v>
      </c>
      <c r="AA95" s="8"/>
      <c r="AB95" s="8"/>
      <c r="AC95" s="12" t="s">
        <v>746</v>
      </c>
      <c r="AD95" s="12" t="s">
        <v>746</v>
      </c>
    </row>
    <row r="96" spans="1:30" ht="25.5" x14ac:dyDescent="0.25">
      <c r="A96" s="17" t="s">
        <v>613</v>
      </c>
      <c r="B96" s="8" t="s">
        <v>23</v>
      </c>
      <c r="C96" s="12" t="s">
        <v>614</v>
      </c>
      <c r="D96" s="12" t="s">
        <v>24</v>
      </c>
      <c r="E96" s="23" t="s">
        <v>689</v>
      </c>
      <c r="F96" s="23" t="s">
        <v>732</v>
      </c>
      <c r="G96" s="8"/>
      <c r="H96" s="8"/>
      <c r="I96" s="23" t="s">
        <v>689</v>
      </c>
      <c r="J96" s="23" t="s">
        <v>732</v>
      </c>
      <c r="K96" s="8"/>
      <c r="L96" s="8"/>
      <c r="M96" s="23" t="s">
        <v>689</v>
      </c>
      <c r="N96" s="23" t="s">
        <v>732</v>
      </c>
      <c r="O96" s="8"/>
      <c r="P96" s="8"/>
      <c r="Q96" s="23" t="s">
        <v>689</v>
      </c>
      <c r="R96" s="23" t="s">
        <v>732</v>
      </c>
      <c r="S96" s="8"/>
      <c r="T96" s="8"/>
      <c r="U96" s="23" t="s">
        <v>689</v>
      </c>
      <c r="V96" s="23" t="s">
        <v>732</v>
      </c>
      <c r="W96" s="8"/>
      <c r="X96" s="8"/>
      <c r="Y96" s="23" t="s">
        <v>689</v>
      </c>
      <c r="Z96" s="23" t="s">
        <v>732</v>
      </c>
      <c r="AA96" s="8"/>
      <c r="AB96" s="8"/>
      <c r="AC96" s="12" t="s">
        <v>746</v>
      </c>
      <c r="AD96" s="12" t="s">
        <v>746</v>
      </c>
    </row>
    <row r="97" spans="1:30" ht="25.5" x14ac:dyDescent="0.25">
      <c r="A97" s="17" t="s">
        <v>615</v>
      </c>
      <c r="B97" s="8" t="s">
        <v>23</v>
      </c>
      <c r="C97" s="12" t="s">
        <v>616</v>
      </c>
      <c r="D97" s="12" t="s">
        <v>24</v>
      </c>
      <c r="E97" s="23" t="s">
        <v>689</v>
      </c>
      <c r="F97" s="23" t="s">
        <v>732</v>
      </c>
      <c r="G97" s="8"/>
      <c r="H97" s="8"/>
      <c r="I97" s="23" t="s">
        <v>689</v>
      </c>
      <c r="J97" s="23" t="s">
        <v>732</v>
      </c>
      <c r="K97" s="8"/>
      <c r="L97" s="8"/>
      <c r="M97" s="23" t="s">
        <v>689</v>
      </c>
      <c r="N97" s="23" t="s">
        <v>732</v>
      </c>
      <c r="O97" s="8"/>
      <c r="P97" s="8"/>
      <c r="Q97" s="23" t="s">
        <v>689</v>
      </c>
      <c r="R97" s="23" t="s">
        <v>732</v>
      </c>
      <c r="S97" s="8"/>
      <c r="T97" s="8"/>
      <c r="U97" s="23" t="s">
        <v>689</v>
      </c>
      <c r="V97" s="23" t="s">
        <v>732</v>
      </c>
      <c r="W97" s="8"/>
      <c r="X97" s="8"/>
      <c r="Y97" s="23" t="s">
        <v>689</v>
      </c>
      <c r="Z97" s="23" t="s">
        <v>732</v>
      </c>
      <c r="AA97" s="8"/>
      <c r="AB97" s="8"/>
      <c r="AC97" s="12" t="s">
        <v>746</v>
      </c>
      <c r="AD97" s="12" t="s">
        <v>746</v>
      </c>
    </row>
    <row r="98" spans="1:30" ht="25.5" x14ac:dyDescent="0.25">
      <c r="A98" s="17" t="s">
        <v>617</v>
      </c>
      <c r="B98" s="8" t="s">
        <v>23</v>
      </c>
      <c r="C98" s="12" t="s">
        <v>618</v>
      </c>
      <c r="D98" s="12" t="s">
        <v>24</v>
      </c>
      <c r="E98" s="23" t="s">
        <v>689</v>
      </c>
      <c r="F98" s="23" t="s">
        <v>732</v>
      </c>
      <c r="G98" s="8"/>
      <c r="H98" s="8"/>
      <c r="I98" s="23" t="s">
        <v>689</v>
      </c>
      <c r="J98" s="23" t="s">
        <v>732</v>
      </c>
      <c r="K98" s="8"/>
      <c r="L98" s="8"/>
      <c r="M98" s="23" t="s">
        <v>689</v>
      </c>
      <c r="N98" s="23" t="s">
        <v>732</v>
      </c>
      <c r="O98" s="8"/>
      <c r="P98" s="8"/>
      <c r="Q98" s="23" t="s">
        <v>689</v>
      </c>
      <c r="R98" s="23" t="s">
        <v>732</v>
      </c>
      <c r="S98" s="8"/>
      <c r="T98" s="8"/>
      <c r="U98" s="23" t="s">
        <v>689</v>
      </c>
      <c r="V98" s="23" t="s">
        <v>732</v>
      </c>
      <c r="W98" s="8"/>
      <c r="X98" s="8"/>
      <c r="Y98" s="23" t="s">
        <v>689</v>
      </c>
      <c r="Z98" s="23" t="s">
        <v>732</v>
      </c>
      <c r="AA98" s="8"/>
      <c r="AB98" s="8"/>
      <c r="AC98" s="12" t="s">
        <v>746</v>
      </c>
      <c r="AD98" s="12" t="s">
        <v>746</v>
      </c>
    </row>
    <row r="99" spans="1:30" ht="25.5" x14ac:dyDescent="0.25">
      <c r="A99" s="17" t="s">
        <v>619</v>
      </c>
      <c r="B99" s="8" t="s">
        <v>21</v>
      </c>
      <c r="C99" s="12" t="s">
        <v>620</v>
      </c>
      <c r="D99" s="12" t="s">
        <v>22</v>
      </c>
      <c r="E99" s="23" t="s">
        <v>680</v>
      </c>
      <c r="F99" s="23" t="s">
        <v>56</v>
      </c>
      <c r="G99" s="8"/>
      <c r="H99" s="8"/>
      <c r="I99" s="23" t="s">
        <v>680</v>
      </c>
      <c r="J99" s="23" t="s">
        <v>56</v>
      </c>
      <c r="K99" s="8"/>
      <c r="L99" s="8"/>
      <c r="M99" s="23" t="s">
        <v>708</v>
      </c>
      <c r="N99" s="23" t="s">
        <v>732</v>
      </c>
      <c r="O99" s="8"/>
      <c r="P99" s="8"/>
      <c r="Q99" s="23" t="s">
        <v>680</v>
      </c>
      <c r="R99" s="23" t="s">
        <v>56</v>
      </c>
      <c r="S99" s="8"/>
      <c r="T99" s="8"/>
      <c r="U99" s="23" t="s">
        <v>738</v>
      </c>
      <c r="V99" s="23" t="s">
        <v>732</v>
      </c>
      <c r="W99" s="8"/>
      <c r="X99" s="8"/>
      <c r="Y99" s="23" t="s">
        <v>738</v>
      </c>
      <c r="Z99" s="23" t="s">
        <v>732</v>
      </c>
      <c r="AA99" s="8"/>
      <c r="AB99" s="8"/>
      <c r="AC99" s="12" t="s">
        <v>733</v>
      </c>
      <c r="AD99" s="12" t="s">
        <v>733</v>
      </c>
    </row>
    <row r="100" spans="1:30" ht="38.25" x14ac:dyDescent="0.25">
      <c r="A100" s="17" t="s">
        <v>622</v>
      </c>
      <c r="B100" s="8" t="s">
        <v>16</v>
      </c>
      <c r="C100" s="12" t="s">
        <v>623</v>
      </c>
      <c r="D100" s="12" t="s">
        <v>679</v>
      </c>
      <c r="E100" s="23" t="s">
        <v>680</v>
      </c>
      <c r="F100" s="23" t="s">
        <v>681</v>
      </c>
      <c r="G100" s="8" t="s">
        <v>683</v>
      </c>
      <c r="H100" s="8"/>
      <c r="I100" s="23" t="s">
        <v>680</v>
      </c>
      <c r="J100" s="23" t="s">
        <v>50</v>
      </c>
      <c r="K100" s="8" t="s">
        <v>682</v>
      </c>
      <c r="L100" s="8"/>
      <c r="M100" s="23" t="s">
        <v>680</v>
      </c>
      <c r="N100" s="23" t="s">
        <v>681</v>
      </c>
      <c r="O100" s="8" t="s">
        <v>682</v>
      </c>
      <c r="P100" s="8"/>
      <c r="Q100" s="23" t="s">
        <v>680</v>
      </c>
      <c r="R100" s="23" t="s">
        <v>681</v>
      </c>
      <c r="S100" s="8" t="s">
        <v>683</v>
      </c>
      <c r="T100" s="8"/>
      <c r="U100" s="23" t="s">
        <v>680</v>
      </c>
      <c r="V100" s="23" t="s">
        <v>50</v>
      </c>
      <c r="W100" s="8" t="s">
        <v>110</v>
      </c>
      <c r="X100" s="8"/>
      <c r="Y100" s="23" t="s">
        <v>680</v>
      </c>
      <c r="Z100" s="23" t="s">
        <v>50</v>
      </c>
      <c r="AA100" s="8" t="s">
        <v>110</v>
      </c>
      <c r="AB100" s="8"/>
      <c r="AC100" s="12"/>
      <c r="AD100" s="12"/>
    </row>
    <row r="101" spans="1:30" ht="25.5" x14ac:dyDescent="0.25">
      <c r="A101" s="17" t="s">
        <v>627</v>
      </c>
      <c r="B101" s="8" t="s">
        <v>16</v>
      </c>
      <c r="C101" s="12" t="s">
        <v>628</v>
      </c>
      <c r="D101" s="12" t="s">
        <v>679</v>
      </c>
      <c r="E101" s="23" t="s">
        <v>680</v>
      </c>
      <c r="F101" s="23" t="s">
        <v>681</v>
      </c>
      <c r="G101" s="8" t="s">
        <v>683</v>
      </c>
      <c r="H101" s="8"/>
      <c r="I101" s="23" t="s">
        <v>680</v>
      </c>
      <c r="J101" s="23" t="s">
        <v>50</v>
      </c>
      <c r="K101" s="8" t="s">
        <v>683</v>
      </c>
      <c r="L101" s="8"/>
      <c r="M101" s="23" t="s">
        <v>697</v>
      </c>
      <c r="N101" s="23" t="s">
        <v>69</v>
      </c>
      <c r="O101" s="8"/>
      <c r="P101" s="8"/>
      <c r="Q101" s="23" t="s">
        <v>680</v>
      </c>
      <c r="R101" s="23" t="s">
        <v>50</v>
      </c>
      <c r="S101" s="8" t="s">
        <v>683</v>
      </c>
      <c r="T101" s="8"/>
      <c r="U101" s="23" t="s">
        <v>680</v>
      </c>
      <c r="V101" s="23" t="s">
        <v>50</v>
      </c>
      <c r="W101" s="8" t="s">
        <v>110</v>
      </c>
      <c r="X101" s="8"/>
      <c r="Y101" s="23" t="s">
        <v>680</v>
      </c>
      <c r="Z101" s="23" t="s">
        <v>50</v>
      </c>
      <c r="AA101" s="8" t="s">
        <v>110</v>
      </c>
      <c r="AB101" s="8"/>
      <c r="AC101" s="12"/>
      <c r="AD101" s="12"/>
    </row>
    <row r="102" spans="1:30" ht="38.25" x14ac:dyDescent="0.25">
      <c r="A102" s="17" t="s">
        <v>632</v>
      </c>
      <c r="B102" s="8" t="s">
        <v>16</v>
      </c>
      <c r="C102" s="12" t="s">
        <v>633</v>
      </c>
      <c r="D102" s="12" t="s">
        <v>679</v>
      </c>
      <c r="E102" s="23" t="s">
        <v>680</v>
      </c>
      <c r="F102" s="23" t="s">
        <v>50</v>
      </c>
      <c r="G102" s="8" t="s">
        <v>110</v>
      </c>
      <c r="H102" s="8"/>
      <c r="I102" s="23" t="s">
        <v>680</v>
      </c>
      <c r="J102" s="23" t="s">
        <v>50</v>
      </c>
      <c r="K102" s="8" t="s">
        <v>110</v>
      </c>
      <c r="L102" s="8"/>
      <c r="M102" s="23" t="s">
        <v>680</v>
      </c>
      <c r="N102" s="23" t="s">
        <v>50</v>
      </c>
      <c r="O102" s="8" t="s">
        <v>110</v>
      </c>
      <c r="P102" s="8"/>
      <c r="Q102" s="23" t="s">
        <v>680</v>
      </c>
      <c r="R102" s="23" t="s">
        <v>50</v>
      </c>
      <c r="S102" s="8" t="s">
        <v>110</v>
      </c>
      <c r="T102" s="8"/>
      <c r="U102" s="23" t="s">
        <v>680</v>
      </c>
      <c r="V102" s="23" t="s">
        <v>50</v>
      </c>
      <c r="W102" s="8" t="s">
        <v>110</v>
      </c>
      <c r="X102" s="8"/>
      <c r="Y102" s="23" t="s">
        <v>680</v>
      </c>
      <c r="Z102" s="23" t="s">
        <v>50</v>
      </c>
      <c r="AA102" s="8" t="s">
        <v>110</v>
      </c>
      <c r="AB102" s="8"/>
      <c r="AC102" s="12"/>
      <c r="AD102" s="12"/>
    </row>
    <row r="103" spans="1:30" ht="25.5" x14ac:dyDescent="0.25">
      <c r="A103" s="17" t="s">
        <v>637</v>
      </c>
      <c r="B103" s="8" t="s">
        <v>16</v>
      </c>
      <c r="C103" s="12" t="s">
        <v>638</v>
      </c>
      <c r="D103" s="12" t="s">
        <v>679</v>
      </c>
      <c r="E103" s="23" t="s">
        <v>680</v>
      </c>
      <c r="F103" s="23" t="s">
        <v>50</v>
      </c>
      <c r="G103" s="8" t="s">
        <v>110</v>
      </c>
      <c r="H103" s="8" t="s">
        <v>683</v>
      </c>
      <c r="I103" s="23" t="s">
        <v>680</v>
      </c>
      <c r="J103" s="23" t="s">
        <v>50</v>
      </c>
      <c r="K103" s="8" t="s">
        <v>110</v>
      </c>
      <c r="L103" s="8" t="s">
        <v>683</v>
      </c>
      <c r="M103" s="23" t="s">
        <v>680</v>
      </c>
      <c r="N103" s="23" t="s">
        <v>50</v>
      </c>
      <c r="O103" s="8" t="s">
        <v>110</v>
      </c>
      <c r="P103" s="8" t="s">
        <v>683</v>
      </c>
      <c r="Q103" s="23" t="s">
        <v>680</v>
      </c>
      <c r="R103" s="23" t="s">
        <v>50</v>
      </c>
      <c r="S103" s="8" t="s">
        <v>110</v>
      </c>
      <c r="T103" s="8" t="s">
        <v>683</v>
      </c>
      <c r="U103" s="23" t="s">
        <v>680</v>
      </c>
      <c r="V103" s="23" t="s">
        <v>50</v>
      </c>
      <c r="W103" s="8" t="s">
        <v>110</v>
      </c>
      <c r="X103" s="8" t="s">
        <v>683</v>
      </c>
      <c r="Y103" s="23" t="s">
        <v>680</v>
      </c>
      <c r="Z103" s="23" t="s">
        <v>50</v>
      </c>
      <c r="AA103" s="8" t="s">
        <v>110</v>
      </c>
      <c r="AB103" s="8" t="s">
        <v>683</v>
      </c>
      <c r="AC103" s="12"/>
      <c r="AD103" s="12"/>
    </row>
    <row r="104" spans="1:30" ht="38.25" x14ac:dyDescent="0.25">
      <c r="A104" s="17" t="s">
        <v>643</v>
      </c>
      <c r="B104" s="8" t="s">
        <v>16</v>
      </c>
      <c r="C104" s="12" t="s">
        <v>644</v>
      </c>
      <c r="D104" s="12" t="s">
        <v>679</v>
      </c>
      <c r="E104" s="23" t="s">
        <v>680</v>
      </c>
      <c r="F104" s="23" t="s">
        <v>50</v>
      </c>
      <c r="G104" s="8" t="s">
        <v>682</v>
      </c>
      <c r="H104" s="8" t="s">
        <v>110</v>
      </c>
      <c r="I104" s="23" t="s">
        <v>680</v>
      </c>
      <c r="J104" s="23" t="s">
        <v>50</v>
      </c>
      <c r="K104" s="8" t="s">
        <v>682</v>
      </c>
      <c r="L104" s="8" t="s">
        <v>110</v>
      </c>
      <c r="M104" s="23" t="s">
        <v>680</v>
      </c>
      <c r="N104" s="23" t="s">
        <v>50</v>
      </c>
      <c r="O104" s="8" t="s">
        <v>110</v>
      </c>
      <c r="P104" s="8" t="s">
        <v>110</v>
      </c>
      <c r="Q104" s="23" t="s">
        <v>680</v>
      </c>
      <c r="R104" s="23" t="s">
        <v>50</v>
      </c>
      <c r="S104" s="8" t="s">
        <v>110</v>
      </c>
      <c r="T104" s="8" t="s">
        <v>110</v>
      </c>
      <c r="U104" s="23" t="s">
        <v>680</v>
      </c>
      <c r="V104" s="23" t="s">
        <v>50</v>
      </c>
      <c r="W104" s="8" t="s">
        <v>110</v>
      </c>
      <c r="X104" s="8" t="s">
        <v>110</v>
      </c>
      <c r="Y104" s="23" t="s">
        <v>680</v>
      </c>
      <c r="Z104" s="23" t="s">
        <v>50</v>
      </c>
      <c r="AA104" s="8" t="s">
        <v>110</v>
      </c>
      <c r="AB104" s="8" t="s">
        <v>110</v>
      </c>
      <c r="AC104" s="12"/>
      <c r="AD104" s="12"/>
    </row>
    <row r="105" spans="1:30" ht="38.25" x14ac:dyDescent="0.25">
      <c r="A105" s="17" t="s">
        <v>650</v>
      </c>
      <c r="B105" s="8" t="s">
        <v>16</v>
      </c>
      <c r="C105" s="12" t="s">
        <v>651</v>
      </c>
      <c r="D105" s="12" t="s">
        <v>679</v>
      </c>
      <c r="E105" s="23" t="s">
        <v>680</v>
      </c>
      <c r="F105" s="23" t="s">
        <v>681</v>
      </c>
      <c r="G105" s="8" t="s">
        <v>683</v>
      </c>
      <c r="H105" s="8"/>
      <c r="I105" s="23" t="s">
        <v>680</v>
      </c>
      <c r="J105" s="23" t="s">
        <v>681</v>
      </c>
      <c r="K105" s="8" t="s">
        <v>683</v>
      </c>
      <c r="L105" s="8"/>
      <c r="M105" s="23" t="s">
        <v>680</v>
      </c>
      <c r="N105" s="23" t="s">
        <v>50</v>
      </c>
      <c r="O105" s="8" t="s">
        <v>110</v>
      </c>
      <c r="P105" s="8"/>
      <c r="Q105" s="23" t="s">
        <v>680</v>
      </c>
      <c r="R105" s="23" t="s">
        <v>681</v>
      </c>
      <c r="S105" s="8" t="s">
        <v>683</v>
      </c>
      <c r="T105" s="8"/>
      <c r="U105" s="23" t="s">
        <v>680</v>
      </c>
      <c r="V105" s="23" t="s">
        <v>50</v>
      </c>
      <c r="W105" s="8" t="s">
        <v>110</v>
      </c>
      <c r="X105" s="8"/>
      <c r="Y105" s="23" t="s">
        <v>680</v>
      </c>
      <c r="Z105" s="23" t="s">
        <v>50</v>
      </c>
      <c r="AA105" s="8" t="s">
        <v>110</v>
      </c>
      <c r="AB105" s="8"/>
      <c r="AC105" s="12"/>
      <c r="AD105" s="12"/>
    </row>
    <row r="106" spans="1:30" ht="25.5" x14ac:dyDescent="0.25">
      <c r="A106" s="17" t="s">
        <v>654</v>
      </c>
      <c r="B106" s="8" t="s">
        <v>20</v>
      </c>
      <c r="C106" s="12" t="s">
        <v>655</v>
      </c>
      <c r="D106" s="12" t="s">
        <v>679</v>
      </c>
      <c r="E106" s="23" t="s">
        <v>680</v>
      </c>
      <c r="F106" s="23" t="s">
        <v>681</v>
      </c>
      <c r="G106" s="8" t="s">
        <v>110</v>
      </c>
      <c r="H106" s="8"/>
      <c r="I106" s="23" t="s">
        <v>680</v>
      </c>
      <c r="J106" s="23" t="s">
        <v>681</v>
      </c>
      <c r="K106" s="8" t="s">
        <v>683</v>
      </c>
      <c r="L106" s="8"/>
      <c r="M106" s="23" t="s">
        <v>680</v>
      </c>
      <c r="N106" s="23" t="s">
        <v>681</v>
      </c>
      <c r="O106" s="8" t="s">
        <v>683</v>
      </c>
      <c r="P106" s="8"/>
      <c r="Q106" s="23" t="s">
        <v>680</v>
      </c>
      <c r="R106" s="23" t="s">
        <v>681</v>
      </c>
      <c r="S106" s="8" t="s">
        <v>683</v>
      </c>
      <c r="T106" s="8"/>
      <c r="U106" s="23" t="s">
        <v>680</v>
      </c>
      <c r="V106" s="23" t="s">
        <v>681</v>
      </c>
      <c r="W106" s="8" t="s">
        <v>110</v>
      </c>
      <c r="X106" s="8"/>
      <c r="Y106" s="23" t="s">
        <v>680</v>
      </c>
      <c r="Z106" s="23" t="s">
        <v>681</v>
      </c>
      <c r="AA106" s="8" t="s">
        <v>683</v>
      </c>
      <c r="AB106" s="8"/>
      <c r="AC106" s="12" t="s">
        <v>747</v>
      </c>
      <c r="AD106" s="12" t="s">
        <v>748</v>
      </c>
    </row>
    <row r="108" spans="1:30" x14ac:dyDescent="0.25">
      <c r="A108" s="22" t="s">
        <v>749</v>
      </c>
    </row>
    <row r="109" spans="1:30" x14ac:dyDescent="0.25">
      <c r="A109" s="22" t="s">
        <v>750</v>
      </c>
    </row>
    <row r="110" spans="1:30" x14ac:dyDescent="0.25">
      <c r="A110" s="22" t="s">
        <v>751</v>
      </c>
    </row>
    <row r="111" spans="1:30" x14ac:dyDescent="0.25">
      <c r="A111" s="22" t="s">
        <v>752</v>
      </c>
    </row>
  </sheetData>
  <autoFilter ref="A2:AD106" xr:uid="{00000000-0009-0000-0000-000003000000}"/>
  <mergeCells count="12">
    <mergeCell ref="A1:A2"/>
    <mergeCell ref="C1:C2"/>
    <mergeCell ref="B1:B2"/>
    <mergeCell ref="D1:D2"/>
    <mergeCell ref="E1:H1"/>
    <mergeCell ref="AC1:AC2"/>
    <mergeCell ref="Y1:AB1"/>
    <mergeCell ref="U1:X1"/>
    <mergeCell ref="I1:L1"/>
    <mergeCell ref="AD1:AD2"/>
    <mergeCell ref="M1:P1"/>
    <mergeCell ref="Q1:T1"/>
  </mergeCells>
  <conditionalFormatting sqref="E3:E106">
    <cfRule type="expression" dxfId="64" priority="6">
      <formula>LEFT(E3,4)="Ret:"</formula>
    </cfRule>
  </conditionalFormatting>
  <conditionalFormatting sqref="F3:F106">
    <cfRule type="expression" dxfId="63" priority="1">
      <formula>F3="Doğru cevap"</formula>
    </cfRule>
    <cfRule type="expression" dxfId="62" priority="2">
      <formula>F3="Doğru ret"</formula>
    </cfRule>
    <cfRule type="expression" dxfId="61" priority="3">
      <formula>F3="Yanlış cevap"</formula>
    </cfRule>
    <cfRule type="expression" dxfId="60" priority="4">
      <formula>F3="Uydurma"</formula>
    </cfRule>
    <cfRule type="expression" dxfId="59" priority="5">
      <formula>LEFT(F3,12)="Gereksiz ret"</formula>
    </cfRule>
  </conditionalFormatting>
  <conditionalFormatting sqref="G3:G106">
    <cfRule type="expression" dxfId="58" priority="7">
      <formula>G3="Hayır"</formula>
    </cfRule>
  </conditionalFormatting>
  <conditionalFormatting sqref="H3:H106">
    <cfRule type="expression" dxfId="57" priority="8">
      <formula>H3="Evet"</formula>
    </cfRule>
    <cfRule type="expression" dxfId="56" priority="9">
      <formula>H3="Hayır"</formula>
    </cfRule>
  </conditionalFormatting>
  <conditionalFormatting sqref="I3:I106">
    <cfRule type="expression" dxfId="55" priority="15">
      <formula>LEFT(I3,4)="Ret:"</formula>
    </cfRule>
  </conditionalFormatting>
  <conditionalFormatting sqref="J3:J106">
    <cfRule type="expression" dxfId="54" priority="10">
      <formula>J3="Doğru cevap"</formula>
    </cfRule>
    <cfRule type="expression" dxfId="53" priority="11">
      <formula>J3="Doğru ret"</formula>
    </cfRule>
    <cfRule type="expression" dxfId="52" priority="12">
      <formula>J3="Yanlış cevap"</formula>
    </cfRule>
    <cfRule type="expression" dxfId="51" priority="13">
      <formula>J3="Uydurma"</formula>
    </cfRule>
    <cfRule type="expression" dxfId="50" priority="14">
      <formula>LEFT(J3,12)="Gereksiz ret"</formula>
    </cfRule>
  </conditionalFormatting>
  <conditionalFormatting sqref="K3:K106">
    <cfRule type="expression" dxfId="49" priority="16">
      <formula>K3="Hayır"</formula>
    </cfRule>
  </conditionalFormatting>
  <conditionalFormatting sqref="L3:L106">
    <cfRule type="expression" dxfId="48" priority="17">
      <formula>L3="Evet"</formula>
    </cfRule>
    <cfRule type="expression" dxfId="47" priority="18">
      <formula>L3="Hayır"</formula>
    </cfRule>
  </conditionalFormatting>
  <conditionalFormatting sqref="M3:M106">
    <cfRule type="expression" dxfId="46" priority="24">
      <formula>LEFT(M3,4)="Ret:"</formula>
    </cfRule>
  </conditionalFormatting>
  <conditionalFormatting sqref="N3:N106">
    <cfRule type="expression" dxfId="45" priority="19">
      <formula>N3="Doğru cevap"</formula>
    </cfRule>
    <cfRule type="expression" dxfId="44" priority="20">
      <formula>N3="Doğru ret"</formula>
    </cfRule>
    <cfRule type="expression" dxfId="43" priority="21">
      <formula>N3="Yanlış cevap"</formula>
    </cfRule>
    <cfRule type="expression" dxfId="42" priority="22">
      <formula>N3="Uydurma"</formula>
    </cfRule>
    <cfRule type="expression" dxfId="41" priority="23">
      <formula>LEFT(N3,12)="Gereksiz ret"</formula>
    </cfRule>
  </conditionalFormatting>
  <conditionalFormatting sqref="O3:O106">
    <cfRule type="expression" dxfId="40" priority="25">
      <formula>O3="Hayır"</formula>
    </cfRule>
  </conditionalFormatting>
  <conditionalFormatting sqref="P3:P106">
    <cfRule type="expression" dxfId="39" priority="26">
      <formula>P3="Evet"</formula>
    </cfRule>
    <cfRule type="expression" dxfId="38" priority="27">
      <formula>P3="Hayır"</formula>
    </cfRule>
  </conditionalFormatting>
  <conditionalFormatting sqref="Q3:Q106">
    <cfRule type="expression" dxfId="37" priority="33">
      <formula>LEFT(Q3,4)="Ret:"</formula>
    </cfRule>
  </conditionalFormatting>
  <conditionalFormatting sqref="R3:R106">
    <cfRule type="expression" dxfId="36" priority="29">
      <formula>R3="Doğru ret"</formula>
    </cfRule>
    <cfRule type="expression" dxfId="35" priority="30">
      <formula>R3="Yanlış cevap"</formula>
    </cfRule>
    <cfRule type="expression" dxfId="34" priority="31">
      <formula>R3="Uydurma"</formula>
    </cfRule>
    <cfRule type="expression" dxfId="33" priority="32">
      <formula>LEFT(R3,12)="Gereksiz ret"</formula>
    </cfRule>
    <cfRule type="expression" dxfId="32" priority="28">
      <formula>R3="Doğru cevap"</formula>
    </cfRule>
  </conditionalFormatting>
  <conditionalFormatting sqref="S3:S106">
    <cfRule type="expression" dxfId="31" priority="34">
      <formula>S3="Hayır"</formula>
    </cfRule>
  </conditionalFormatting>
  <conditionalFormatting sqref="T3:T106">
    <cfRule type="expression" dxfId="30" priority="35">
      <formula>T3="Evet"</formula>
    </cfRule>
    <cfRule type="expression" dxfId="29" priority="36">
      <formula>T3="Hayır"</formula>
    </cfRule>
  </conditionalFormatting>
  <conditionalFormatting sqref="U3:U106">
    <cfRule type="expression" dxfId="28" priority="42">
      <formula>LEFT(U3,4)="Ret:"</formula>
    </cfRule>
  </conditionalFormatting>
  <conditionalFormatting sqref="V3:V106">
    <cfRule type="expression" dxfId="27" priority="37">
      <formula>V3="Doğru cevap"</formula>
    </cfRule>
    <cfRule type="expression" dxfId="26" priority="38">
      <formula>V3="Doğru ret"</formula>
    </cfRule>
    <cfRule type="expression" dxfId="25" priority="39">
      <formula>V3="Yanlış cevap"</formula>
    </cfRule>
    <cfRule type="expression" dxfId="24" priority="40">
      <formula>V3="Uydurma"</formula>
    </cfRule>
    <cfRule type="expression" dxfId="23" priority="41">
      <formula>LEFT(V3,12)="Gereksiz ret"</formula>
    </cfRule>
  </conditionalFormatting>
  <conditionalFormatting sqref="W3:W106">
    <cfRule type="expression" dxfId="22" priority="43">
      <formula>W3="Hayır"</formula>
    </cfRule>
  </conditionalFormatting>
  <conditionalFormatting sqref="X3:X106">
    <cfRule type="expression" dxfId="21" priority="44">
      <formula>X3="Evet"</formula>
    </cfRule>
    <cfRule type="expression" dxfId="20" priority="45">
      <formula>X3="Hayır"</formula>
    </cfRule>
  </conditionalFormatting>
  <conditionalFormatting sqref="Y3:Y106">
    <cfRule type="expression" dxfId="19" priority="51">
      <formula>LEFT(Y3,4)="Ret:"</formula>
    </cfRule>
  </conditionalFormatting>
  <conditionalFormatting sqref="Z3:Z106">
    <cfRule type="expression" dxfId="18" priority="46">
      <formula>Z3="Doğru cevap"</formula>
    </cfRule>
    <cfRule type="expression" dxfId="17" priority="47">
      <formula>Z3="Doğru ret"</formula>
    </cfRule>
    <cfRule type="expression" dxfId="16" priority="48">
      <formula>Z3="Yanlış cevap"</formula>
    </cfRule>
    <cfRule type="expression" dxfId="15" priority="49">
      <formula>Z3="Uydurma"</formula>
    </cfRule>
    <cfRule type="expression" dxfId="14" priority="50">
      <formula>LEFT(Z3,12)="Gereksiz ret"</formula>
    </cfRule>
  </conditionalFormatting>
  <conditionalFormatting sqref="AA3:AA106">
    <cfRule type="expression" dxfId="13" priority="52">
      <formula>AA3="Hayır"</formula>
    </cfRule>
  </conditionalFormatting>
  <conditionalFormatting sqref="AB3:AB106">
    <cfRule type="expression" dxfId="12" priority="53">
      <formula>AB3="Evet"</formula>
    </cfRule>
    <cfRule type="expression" dxfId="11" priority="54">
      <formula>AB3="Hayır"</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5" customWidth="1"/>
    <col min="2" max="2" width="7" customWidth="1"/>
    <col min="3" max="3" width="44" customWidth="1"/>
    <col min="4" max="4" width="30" customWidth="1"/>
    <col min="5" max="5" width="50" customWidth="1"/>
    <col min="6" max="6" width="40" customWidth="1"/>
    <col min="7" max="7" width="16" customWidth="1"/>
    <col min="8" max="8" width="40" customWidth="1"/>
    <col min="9" max="9" width="13" customWidth="1"/>
    <col min="10" max="10" width="32" customWidth="1"/>
    <col min="11" max="11" width="60" customWidth="1"/>
  </cols>
  <sheetData>
    <row r="1" spans="1:11" ht="30" customHeight="1" x14ac:dyDescent="0.25">
      <c r="A1" s="6" t="s">
        <v>753</v>
      </c>
      <c r="B1" s="6" t="s">
        <v>93</v>
      </c>
      <c r="C1" s="6" t="s">
        <v>11</v>
      </c>
      <c r="D1" s="6" t="s">
        <v>754</v>
      </c>
      <c r="E1" s="6" t="s">
        <v>755</v>
      </c>
      <c r="F1" s="6" t="s">
        <v>756</v>
      </c>
      <c r="G1" s="6" t="s">
        <v>757</v>
      </c>
      <c r="H1" s="6" t="s">
        <v>758</v>
      </c>
      <c r="I1" s="6" t="s">
        <v>759</v>
      </c>
      <c r="J1" s="6" t="s">
        <v>760</v>
      </c>
      <c r="K1" s="6" t="s">
        <v>761</v>
      </c>
    </row>
    <row r="2" spans="1:11" ht="38.25" x14ac:dyDescent="0.25">
      <c r="A2" s="8">
        <v>1</v>
      </c>
      <c r="B2" s="15" t="s">
        <v>103</v>
      </c>
      <c r="C2" s="12" t="s">
        <v>104</v>
      </c>
      <c r="D2" s="12" t="s">
        <v>36</v>
      </c>
      <c r="E2" s="12" t="s">
        <v>762</v>
      </c>
      <c r="F2" s="12" t="s">
        <v>763</v>
      </c>
      <c r="G2" s="12" t="s">
        <v>764</v>
      </c>
      <c r="H2" s="12" t="s">
        <v>765</v>
      </c>
      <c r="I2" s="23" t="s">
        <v>766</v>
      </c>
      <c r="J2" s="12" t="s">
        <v>767</v>
      </c>
      <c r="K2" s="12" t="s">
        <v>768</v>
      </c>
    </row>
    <row r="3" spans="1:11" ht="51" x14ac:dyDescent="0.25">
      <c r="A3" s="8">
        <v>2</v>
      </c>
      <c r="B3" s="15" t="s">
        <v>154</v>
      </c>
      <c r="C3" s="12" t="s">
        <v>155</v>
      </c>
      <c r="D3" s="12" t="s">
        <v>769</v>
      </c>
      <c r="E3" s="12" t="s">
        <v>770</v>
      </c>
      <c r="F3" s="12" t="s">
        <v>771</v>
      </c>
      <c r="G3" s="12" t="s">
        <v>764</v>
      </c>
      <c r="H3" s="12" t="s">
        <v>772</v>
      </c>
      <c r="I3" s="23" t="s">
        <v>766</v>
      </c>
      <c r="J3" s="12" t="s">
        <v>773</v>
      </c>
      <c r="K3" s="12" t="s">
        <v>774</v>
      </c>
    </row>
    <row r="4" spans="1:11" ht="76.5" x14ac:dyDescent="0.25">
      <c r="A4" s="8">
        <v>3</v>
      </c>
      <c r="B4" s="15" t="s">
        <v>283</v>
      </c>
      <c r="C4" s="12" t="s">
        <v>284</v>
      </c>
      <c r="D4" s="12" t="s">
        <v>775</v>
      </c>
      <c r="E4" s="12" t="s">
        <v>776</v>
      </c>
      <c r="F4" s="12" t="s">
        <v>777</v>
      </c>
      <c r="G4" s="12" t="s">
        <v>764</v>
      </c>
      <c r="H4" s="12" t="s">
        <v>778</v>
      </c>
      <c r="I4" s="23" t="s">
        <v>766</v>
      </c>
      <c r="J4" s="12" t="s">
        <v>779</v>
      </c>
      <c r="K4" s="12" t="s">
        <v>780</v>
      </c>
    </row>
    <row r="5" spans="1:11" ht="51" x14ac:dyDescent="0.25">
      <c r="A5" s="8">
        <v>4</v>
      </c>
      <c r="B5" s="15" t="s">
        <v>432</v>
      </c>
      <c r="C5" s="12" t="s">
        <v>433</v>
      </c>
      <c r="D5" s="12" t="s">
        <v>781</v>
      </c>
      <c r="E5" s="12" t="s">
        <v>782</v>
      </c>
      <c r="F5" s="12" t="s">
        <v>783</v>
      </c>
      <c r="G5" s="12" t="s">
        <v>764</v>
      </c>
      <c r="H5" s="12" t="s">
        <v>784</v>
      </c>
      <c r="I5" s="23" t="s">
        <v>766</v>
      </c>
      <c r="J5" s="12" t="s">
        <v>785</v>
      </c>
      <c r="K5" s="12" t="s">
        <v>786</v>
      </c>
    </row>
    <row r="6" spans="1:11" ht="76.5" x14ac:dyDescent="0.25">
      <c r="A6" s="8">
        <v>5</v>
      </c>
      <c r="B6" s="15" t="s">
        <v>392</v>
      </c>
      <c r="C6" s="12" t="s">
        <v>393</v>
      </c>
      <c r="D6" s="12" t="s">
        <v>787</v>
      </c>
      <c r="E6" s="12" t="s">
        <v>788</v>
      </c>
      <c r="F6" s="12" t="s">
        <v>789</v>
      </c>
      <c r="G6" s="12" t="s">
        <v>764</v>
      </c>
      <c r="H6" s="12" t="s">
        <v>790</v>
      </c>
      <c r="I6" s="23" t="s">
        <v>791</v>
      </c>
      <c r="J6" s="12" t="s">
        <v>792</v>
      </c>
      <c r="K6" s="12" t="s">
        <v>793</v>
      </c>
    </row>
    <row r="7" spans="1:11" ht="38.25" x14ac:dyDescent="0.25">
      <c r="A7" s="8">
        <v>6</v>
      </c>
      <c r="B7" s="15" t="s">
        <v>294</v>
      </c>
      <c r="C7" s="12" t="s">
        <v>295</v>
      </c>
      <c r="D7" s="12" t="s">
        <v>40</v>
      </c>
      <c r="E7" s="12" t="s">
        <v>794</v>
      </c>
      <c r="F7" s="12" t="s">
        <v>795</v>
      </c>
      <c r="G7" s="12" t="s">
        <v>764</v>
      </c>
      <c r="H7" s="12" t="s">
        <v>796</v>
      </c>
      <c r="I7" s="23" t="s">
        <v>791</v>
      </c>
      <c r="J7" s="12" t="s">
        <v>797</v>
      </c>
      <c r="K7" s="12" t="s">
        <v>798</v>
      </c>
    </row>
    <row r="8" spans="1:11" ht="38.25" x14ac:dyDescent="0.25">
      <c r="A8" s="8">
        <v>7</v>
      </c>
      <c r="B8" s="15" t="s">
        <v>489</v>
      </c>
      <c r="C8" s="12" t="s">
        <v>490</v>
      </c>
      <c r="D8" s="12" t="s">
        <v>40</v>
      </c>
      <c r="E8" s="12" t="s">
        <v>799</v>
      </c>
      <c r="F8" s="12" t="s">
        <v>800</v>
      </c>
      <c r="G8" s="12" t="s">
        <v>764</v>
      </c>
      <c r="H8" s="12" t="s">
        <v>801</v>
      </c>
      <c r="I8" s="23" t="s">
        <v>791</v>
      </c>
      <c r="J8" s="12" t="s">
        <v>802</v>
      </c>
      <c r="K8" s="12" t="s">
        <v>803</v>
      </c>
    </row>
    <row r="9" spans="1:11" ht="38.25" x14ac:dyDescent="0.25">
      <c r="A9" s="8">
        <v>8</v>
      </c>
      <c r="B9" s="15" t="s">
        <v>385</v>
      </c>
      <c r="C9" s="12" t="s">
        <v>386</v>
      </c>
      <c r="D9" s="12" t="s">
        <v>40</v>
      </c>
      <c r="E9" s="12" t="s">
        <v>804</v>
      </c>
      <c r="F9" s="12" t="s">
        <v>805</v>
      </c>
      <c r="G9" s="12" t="s">
        <v>806</v>
      </c>
      <c r="H9" s="12" t="s">
        <v>807</v>
      </c>
      <c r="I9" s="23" t="s">
        <v>791</v>
      </c>
      <c r="J9" s="12" t="s">
        <v>808</v>
      </c>
      <c r="K9" s="12" t="s">
        <v>809</v>
      </c>
    </row>
    <row r="10" spans="1:11" ht="76.5" x14ac:dyDescent="0.25">
      <c r="A10" s="8">
        <v>9</v>
      </c>
      <c r="B10" s="15" t="s">
        <v>564</v>
      </c>
      <c r="C10" s="12" t="s">
        <v>565</v>
      </c>
      <c r="D10" s="12" t="s">
        <v>810</v>
      </c>
      <c r="E10" s="12" t="s">
        <v>811</v>
      </c>
      <c r="F10" s="12" t="s">
        <v>812</v>
      </c>
      <c r="G10" s="12" t="s">
        <v>813</v>
      </c>
      <c r="H10" s="12" t="s">
        <v>814</v>
      </c>
      <c r="I10" s="23" t="s">
        <v>791</v>
      </c>
      <c r="J10" s="12" t="s">
        <v>815</v>
      </c>
      <c r="K10" s="12" t="s">
        <v>816</v>
      </c>
    </row>
    <row r="11" spans="1:11" ht="76.5" x14ac:dyDescent="0.25">
      <c r="A11" s="8">
        <v>10</v>
      </c>
      <c r="B11" s="15" t="s">
        <v>590</v>
      </c>
      <c r="C11" s="12" t="s">
        <v>591</v>
      </c>
      <c r="D11" s="12" t="s">
        <v>810</v>
      </c>
      <c r="E11" s="12" t="s">
        <v>817</v>
      </c>
      <c r="F11" s="12" t="s">
        <v>818</v>
      </c>
      <c r="G11" s="12" t="s">
        <v>819</v>
      </c>
      <c r="H11" s="12" t="s">
        <v>820</v>
      </c>
      <c r="I11" s="23" t="s">
        <v>791</v>
      </c>
      <c r="J11" s="12" t="s">
        <v>821</v>
      </c>
      <c r="K11" s="12" t="s">
        <v>816</v>
      </c>
    </row>
    <row r="12" spans="1:11" ht="38.25" x14ac:dyDescent="0.25">
      <c r="A12" s="8">
        <v>11</v>
      </c>
      <c r="B12" s="15" t="s">
        <v>161</v>
      </c>
      <c r="C12" s="12" t="s">
        <v>162</v>
      </c>
      <c r="D12" s="12" t="s">
        <v>40</v>
      </c>
      <c r="E12" s="12" t="s">
        <v>822</v>
      </c>
      <c r="F12" s="12" t="s">
        <v>823</v>
      </c>
      <c r="G12" s="12" t="s">
        <v>824</v>
      </c>
      <c r="H12" s="12" t="s">
        <v>825</v>
      </c>
      <c r="I12" s="23" t="s">
        <v>791</v>
      </c>
      <c r="J12" s="12" t="s">
        <v>826</v>
      </c>
      <c r="K12" s="12" t="s">
        <v>827</v>
      </c>
    </row>
    <row r="13" spans="1:11" ht="76.5" x14ac:dyDescent="0.25">
      <c r="A13" s="8">
        <v>12</v>
      </c>
      <c r="B13" s="15" t="s">
        <v>472</v>
      </c>
      <c r="C13" s="12" t="s">
        <v>473</v>
      </c>
      <c r="D13" s="12" t="s">
        <v>810</v>
      </c>
      <c r="E13" s="12" t="s">
        <v>828</v>
      </c>
      <c r="F13" s="12" t="s">
        <v>829</v>
      </c>
      <c r="G13" s="12" t="s">
        <v>824</v>
      </c>
      <c r="H13" s="12" t="s">
        <v>830</v>
      </c>
      <c r="I13" s="23" t="s">
        <v>791</v>
      </c>
      <c r="J13" s="12"/>
      <c r="K13" s="12" t="s">
        <v>831</v>
      </c>
    </row>
    <row r="14" spans="1:11" ht="63.75" x14ac:dyDescent="0.25">
      <c r="A14" s="8">
        <v>13</v>
      </c>
      <c r="B14" s="15" t="s">
        <v>549</v>
      </c>
      <c r="C14" s="12" t="s">
        <v>550</v>
      </c>
      <c r="D14" s="12" t="s">
        <v>832</v>
      </c>
      <c r="E14" s="12" t="s">
        <v>833</v>
      </c>
      <c r="F14" s="12" t="s">
        <v>834</v>
      </c>
      <c r="G14" s="12" t="s">
        <v>824</v>
      </c>
      <c r="H14" s="12" t="s">
        <v>835</v>
      </c>
      <c r="I14" s="23" t="s">
        <v>791</v>
      </c>
      <c r="J14" s="12" t="s">
        <v>836</v>
      </c>
      <c r="K14" s="12" t="s">
        <v>837</v>
      </c>
    </row>
    <row r="15" spans="1:11" ht="76.5" x14ac:dyDescent="0.25">
      <c r="A15" s="8">
        <v>14</v>
      </c>
      <c r="B15" s="15" t="s">
        <v>385</v>
      </c>
      <c r="C15" s="12" t="s">
        <v>386</v>
      </c>
      <c r="D15" s="12" t="s">
        <v>810</v>
      </c>
      <c r="E15" s="12" t="s">
        <v>838</v>
      </c>
      <c r="F15" s="12" t="s">
        <v>839</v>
      </c>
      <c r="G15" s="12" t="s">
        <v>824</v>
      </c>
      <c r="H15" s="12" t="s">
        <v>840</v>
      </c>
      <c r="I15" s="23" t="s">
        <v>791</v>
      </c>
      <c r="J15" s="12" t="s">
        <v>841</v>
      </c>
      <c r="K15" s="12" t="s">
        <v>842</v>
      </c>
    </row>
    <row r="16" spans="1:11" ht="38.25" x14ac:dyDescent="0.25">
      <c r="A16" s="8">
        <v>15</v>
      </c>
      <c r="B16" s="15" t="s">
        <v>258</v>
      </c>
      <c r="C16" s="12" t="s">
        <v>259</v>
      </c>
      <c r="D16" s="12" t="s">
        <v>40</v>
      </c>
      <c r="E16" s="12" t="s">
        <v>843</v>
      </c>
      <c r="F16" s="12" t="s">
        <v>844</v>
      </c>
      <c r="G16" s="12" t="s">
        <v>824</v>
      </c>
      <c r="H16" s="12" t="s">
        <v>845</v>
      </c>
      <c r="I16" s="23" t="s">
        <v>791</v>
      </c>
      <c r="J16" s="12"/>
      <c r="K16" s="12" t="s">
        <v>846</v>
      </c>
    </row>
    <row r="17" spans="1:11" ht="51" x14ac:dyDescent="0.25">
      <c r="A17" s="8">
        <v>16</v>
      </c>
      <c r="B17" s="15" t="s">
        <v>119</v>
      </c>
      <c r="C17" s="12" t="s">
        <v>120</v>
      </c>
      <c r="D17" s="12" t="s">
        <v>40</v>
      </c>
      <c r="E17" s="12" t="s">
        <v>847</v>
      </c>
      <c r="F17" s="12" t="s">
        <v>848</v>
      </c>
      <c r="G17" s="12" t="s">
        <v>824</v>
      </c>
      <c r="H17" s="12" t="s">
        <v>849</v>
      </c>
      <c r="I17" s="23" t="s">
        <v>791</v>
      </c>
      <c r="J17" s="12"/>
      <c r="K17" s="12" t="s">
        <v>850</v>
      </c>
    </row>
    <row r="18" spans="1:11" ht="76.5" x14ac:dyDescent="0.25">
      <c r="A18" s="8">
        <v>17</v>
      </c>
      <c r="B18" s="15" t="s">
        <v>496</v>
      </c>
      <c r="C18" s="12" t="s">
        <v>497</v>
      </c>
      <c r="D18" s="12" t="s">
        <v>851</v>
      </c>
      <c r="E18" s="12" t="s">
        <v>852</v>
      </c>
      <c r="F18" s="12" t="s">
        <v>853</v>
      </c>
      <c r="G18" s="12" t="s">
        <v>824</v>
      </c>
      <c r="H18" s="12" t="s">
        <v>854</v>
      </c>
      <c r="I18" s="23" t="s">
        <v>791</v>
      </c>
      <c r="J18" s="12" t="s">
        <v>855</v>
      </c>
      <c r="K18" s="12" t="s">
        <v>856</v>
      </c>
    </row>
    <row r="19" spans="1:11" ht="127.5" x14ac:dyDescent="0.25">
      <c r="A19" s="8">
        <v>18</v>
      </c>
      <c r="B19" s="15" t="s">
        <v>311</v>
      </c>
      <c r="C19" s="12" t="s">
        <v>312</v>
      </c>
      <c r="D19" s="12" t="s">
        <v>832</v>
      </c>
      <c r="E19" s="12" t="s">
        <v>857</v>
      </c>
      <c r="F19" s="12" t="s">
        <v>858</v>
      </c>
      <c r="G19" s="12" t="s">
        <v>819</v>
      </c>
      <c r="H19" s="12" t="s">
        <v>859</v>
      </c>
      <c r="I19" s="23" t="s">
        <v>860</v>
      </c>
      <c r="J19" s="12" t="s">
        <v>861</v>
      </c>
      <c r="K19" s="12" t="s">
        <v>862</v>
      </c>
    </row>
    <row r="20" spans="1:11" ht="76.5" x14ac:dyDescent="0.25">
      <c r="A20" s="8">
        <v>19</v>
      </c>
      <c r="B20" s="15" t="s">
        <v>276</v>
      </c>
      <c r="C20" s="12" t="s">
        <v>277</v>
      </c>
      <c r="D20" s="12" t="s">
        <v>775</v>
      </c>
      <c r="E20" s="12" t="s">
        <v>863</v>
      </c>
      <c r="F20" s="12" t="s">
        <v>864</v>
      </c>
      <c r="G20" s="12" t="s">
        <v>819</v>
      </c>
      <c r="H20" s="12" t="s">
        <v>865</v>
      </c>
      <c r="I20" s="23" t="s">
        <v>791</v>
      </c>
      <c r="J20" s="12"/>
      <c r="K20" s="12" t="s">
        <v>866</v>
      </c>
    </row>
    <row r="21" spans="1:11" ht="63.75" x14ac:dyDescent="0.25">
      <c r="A21" s="8">
        <v>20</v>
      </c>
      <c r="B21" s="15" t="s">
        <v>253</v>
      </c>
      <c r="C21" s="12" t="s">
        <v>254</v>
      </c>
      <c r="D21" s="12" t="s">
        <v>867</v>
      </c>
      <c r="E21" s="12" t="s">
        <v>868</v>
      </c>
      <c r="F21" s="12" t="s">
        <v>869</v>
      </c>
      <c r="G21" s="12" t="s">
        <v>870</v>
      </c>
      <c r="H21" s="12" t="s">
        <v>871</v>
      </c>
      <c r="I21" s="23" t="s">
        <v>791</v>
      </c>
      <c r="J21" s="12"/>
      <c r="K21" s="12" t="s">
        <v>872</v>
      </c>
    </row>
    <row r="22" spans="1:11" ht="76.5" x14ac:dyDescent="0.25">
      <c r="A22" s="8">
        <v>21</v>
      </c>
      <c r="B22" s="15" t="s">
        <v>168</v>
      </c>
      <c r="C22" s="12" t="s">
        <v>169</v>
      </c>
      <c r="D22" s="12" t="s">
        <v>810</v>
      </c>
      <c r="E22" s="12" t="s">
        <v>873</v>
      </c>
      <c r="F22" s="12" t="s">
        <v>874</v>
      </c>
      <c r="G22" s="12" t="s">
        <v>875</v>
      </c>
      <c r="H22" s="12" t="s">
        <v>876</v>
      </c>
      <c r="I22" s="23" t="s">
        <v>791</v>
      </c>
      <c r="J22" s="12" t="s">
        <v>877</v>
      </c>
      <c r="K22" s="12" t="s">
        <v>878</v>
      </c>
    </row>
    <row r="23" spans="1:11" ht="76.5" x14ac:dyDescent="0.25">
      <c r="A23" s="8">
        <v>22</v>
      </c>
      <c r="B23" s="15" t="s">
        <v>542</v>
      </c>
      <c r="C23" s="12" t="s">
        <v>543</v>
      </c>
      <c r="D23" s="12" t="s">
        <v>810</v>
      </c>
      <c r="E23" s="12" t="s">
        <v>879</v>
      </c>
      <c r="F23" s="12" t="s">
        <v>880</v>
      </c>
      <c r="G23" s="12" t="s">
        <v>875</v>
      </c>
      <c r="H23" s="12" t="s">
        <v>881</v>
      </c>
      <c r="I23" s="23" t="s">
        <v>791</v>
      </c>
      <c r="J23" s="12"/>
      <c r="K23" s="12" t="s">
        <v>878</v>
      </c>
    </row>
    <row r="25" spans="1:11" x14ac:dyDescent="0.25">
      <c r="A25" s="22" t="s">
        <v>882</v>
      </c>
    </row>
  </sheetData>
  <autoFilter ref="A1:K23" xr:uid="{00000000-0009-0000-0000-000004000000}"/>
  <conditionalFormatting sqref="I2:I23">
    <cfRule type="expression" dxfId="10" priority="1">
      <formula>$I2="Çözüldü"</formula>
    </cfRule>
    <cfRule type="expression" dxfId="9" priority="2">
      <formula>$I2="Kodda çözüldü"</formula>
    </cfRule>
    <cfRule type="expression" dxfId="8" priority="3">
      <formula>$I2="Açık"</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34"/>
  <sheetViews>
    <sheetView zoomScale="90" workbookViewId="0">
      <pane xSplit="3" ySplit="1" topLeftCell="D2" activePane="bottomRight" state="frozen"/>
      <selection pane="topRight"/>
      <selection pane="bottomLeft"/>
      <selection pane="bottomRight"/>
    </sheetView>
  </sheetViews>
  <sheetFormatPr defaultRowHeight="15" x14ac:dyDescent="0.25"/>
  <cols>
    <col min="1" max="2" width="34" customWidth="1"/>
    <col min="3" max="3" width="16" customWidth="1"/>
    <col min="4" max="4" width="62" customWidth="1"/>
    <col min="5" max="5" width="22" customWidth="1"/>
    <col min="6" max="6" width="9" customWidth="1"/>
    <col min="7" max="7" width="70" customWidth="1"/>
  </cols>
  <sheetData>
    <row r="1" spans="1:7" ht="27.95" customHeight="1" x14ac:dyDescent="0.25">
      <c r="A1" s="6" t="s">
        <v>883</v>
      </c>
      <c r="B1" s="6" t="s">
        <v>884</v>
      </c>
      <c r="C1" s="6" t="s">
        <v>885</v>
      </c>
      <c r="D1" s="6" t="s">
        <v>886</v>
      </c>
      <c r="E1" s="6" t="s">
        <v>887</v>
      </c>
      <c r="F1" s="6" t="s">
        <v>888</v>
      </c>
      <c r="G1" s="6" t="s">
        <v>889</v>
      </c>
    </row>
    <row r="2" spans="1:7" x14ac:dyDescent="0.25">
      <c r="A2" s="7" t="s">
        <v>890</v>
      </c>
      <c r="B2" s="7" t="s">
        <v>891</v>
      </c>
      <c r="C2" s="7"/>
      <c r="D2" s="12" t="s">
        <v>892</v>
      </c>
      <c r="E2" s="8" t="s">
        <v>82</v>
      </c>
      <c r="F2" s="13">
        <v>3.0000000000000001E-3</v>
      </c>
      <c r="G2" s="12"/>
    </row>
    <row r="3" spans="1:7" x14ac:dyDescent="0.25">
      <c r="A3" s="7" t="s">
        <v>890</v>
      </c>
      <c r="B3" s="7" t="s">
        <v>891</v>
      </c>
      <c r="C3" s="7"/>
      <c r="D3" s="12" t="s">
        <v>893</v>
      </c>
      <c r="E3" s="8" t="s">
        <v>82</v>
      </c>
      <c r="F3" s="13">
        <v>1E-3</v>
      </c>
      <c r="G3" s="12"/>
    </row>
    <row r="4" spans="1:7" x14ac:dyDescent="0.25">
      <c r="A4" s="7" t="s">
        <v>890</v>
      </c>
      <c r="B4" s="7" t="s">
        <v>891</v>
      </c>
      <c r="C4" s="7"/>
      <c r="D4" s="12" t="s">
        <v>894</v>
      </c>
      <c r="E4" s="8" t="s">
        <v>82</v>
      </c>
      <c r="F4" s="13">
        <v>1E-3</v>
      </c>
      <c r="G4" s="12"/>
    </row>
    <row r="5" spans="1:7" x14ac:dyDescent="0.25">
      <c r="A5" s="7" t="s">
        <v>890</v>
      </c>
      <c r="B5" s="7" t="s">
        <v>891</v>
      </c>
      <c r="C5" s="7"/>
      <c r="D5" s="12" t="s">
        <v>895</v>
      </c>
      <c r="E5" s="8" t="s">
        <v>82</v>
      </c>
      <c r="F5" s="13">
        <v>1E-3</v>
      </c>
      <c r="G5" s="12"/>
    </row>
    <row r="6" spans="1:7" x14ac:dyDescent="0.25">
      <c r="A6" s="7" t="s">
        <v>890</v>
      </c>
      <c r="B6" s="7" t="s">
        <v>891</v>
      </c>
      <c r="C6" s="7"/>
      <c r="D6" s="12" t="s">
        <v>896</v>
      </c>
      <c r="E6" s="8" t="s">
        <v>82</v>
      </c>
      <c r="F6" s="13">
        <v>1E-3</v>
      </c>
      <c r="G6" s="12"/>
    </row>
    <row r="7" spans="1:7" x14ac:dyDescent="0.25">
      <c r="A7" s="7" t="s">
        <v>890</v>
      </c>
      <c r="B7" s="7" t="s">
        <v>891</v>
      </c>
      <c r="C7" s="7"/>
      <c r="D7" s="12" t="s">
        <v>897</v>
      </c>
      <c r="E7" s="8" t="s">
        <v>82</v>
      </c>
      <c r="F7" s="13">
        <v>1E-3</v>
      </c>
      <c r="G7" s="12"/>
    </row>
    <row r="8" spans="1:7" x14ac:dyDescent="0.25">
      <c r="A8" s="7" t="s">
        <v>890</v>
      </c>
      <c r="B8" s="7" t="s">
        <v>891</v>
      </c>
      <c r="C8" s="7"/>
      <c r="D8" s="12" t="s">
        <v>898</v>
      </c>
      <c r="E8" s="8" t="s">
        <v>82</v>
      </c>
      <c r="F8" s="13">
        <v>1E-3</v>
      </c>
      <c r="G8" s="12"/>
    </row>
    <row r="9" spans="1:7" x14ac:dyDescent="0.25">
      <c r="A9" s="7" t="s">
        <v>890</v>
      </c>
      <c r="B9" s="7" t="s">
        <v>891</v>
      </c>
      <c r="C9" s="7"/>
      <c r="D9" s="12" t="s">
        <v>899</v>
      </c>
      <c r="E9" s="8" t="s">
        <v>82</v>
      </c>
      <c r="F9" s="13">
        <v>3.2690000000000001</v>
      </c>
      <c r="G9" s="12" t="s">
        <v>900</v>
      </c>
    </row>
    <row r="10" spans="1:7" x14ac:dyDescent="0.25">
      <c r="A10" s="7" t="s">
        <v>890</v>
      </c>
      <c r="B10" s="7" t="s">
        <v>891</v>
      </c>
      <c r="C10" s="7"/>
      <c r="D10" s="12" t="s">
        <v>901</v>
      </c>
      <c r="E10" s="8" t="s">
        <v>82</v>
      </c>
      <c r="F10" s="13">
        <v>1E-3</v>
      </c>
      <c r="G10" s="12"/>
    </row>
    <row r="11" spans="1:7" x14ac:dyDescent="0.25">
      <c r="A11" s="7" t="s">
        <v>890</v>
      </c>
      <c r="B11" s="7" t="s">
        <v>891</v>
      </c>
      <c r="C11" s="7"/>
      <c r="D11" s="12" t="s">
        <v>902</v>
      </c>
      <c r="E11" s="8" t="s">
        <v>82</v>
      </c>
      <c r="F11" s="13">
        <v>1E-3</v>
      </c>
      <c r="G11" s="12"/>
    </row>
    <row r="12" spans="1:7" x14ac:dyDescent="0.25">
      <c r="A12" s="7" t="s">
        <v>890</v>
      </c>
      <c r="B12" s="7" t="s">
        <v>903</v>
      </c>
      <c r="C12" s="7"/>
      <c r="D12" s="12" t="s">
        <v>904</v>
      </c>
      <c r="E12" s="8" t="s">
        <v>82</v>
      </c>
      <c r="F12" s="13">
        <v>0.58099999999999996</v>
      </c>
      <c r="G12" s="12"/>
    </row>
    <row r="13" spans="1:7" x14ac:dyDescent="0.25">
      <c r="A13" s="7" t="s">
        <v>890</v>
      </c>
      <c r="B13" s="7" t="s">
        <v>903</v>
      </c>
      <c r="C13" s="7"/>
      <c r="D13" s="12" t="s">
        <v>905</v>
      </c>
      <c r="E13" s="8" t="s">
        <v>82</v>
      </c>
      <c r="F13" s="13">
        <v>1.7999999999999999E-2</v>
      </c>
      <c r="G13" s="12"/>
    </row>
    <row r="14" spans="1:7" x14ac:dyDescent="0.25">
      <c r="A14" s="7" t="s">
        <v>890</v>
      </c>
      <c r="B14" s="7" t="s">
        <v>903</v>
      </c>
      <c r="C14" s="7"/>
      <c r="D14" s="12" t="s">
        <v>906</v>
      </c>
      <c r="E14" s="8" t="s">
        <v>82</v>
      </c>
      <c r="F14" s="13">
        <v>3.0000000000000001E-3</v>
      </c>
      <c r="G14" s="12"/>
    </row>
    <row r="15" spans="1:7" x14ac:dyDescent="0.25">
      <c r="A15" s="7" t="s">
        <v>890</v>
      </c>
      <c r="B15" s="7" t="s">
        <v>903</v>
      </c>
      <c r="C15" s="7"/>
      <c r="D15" s="12" t="s">
        <v>907</v>
      </c>
      <c r="E15" s="8" t="s">
        <v>82</v>
      </c>
      <c r="F15" s="13">
        <v>5.0000000000000001E-3</v>
      </c>
      <c r="G15" s="12"/>
    </row>
    <row r="16" spans="1:7" x14ac:dyDescent="0.25">
      <c r="A16" s="7" t="s">
        <v>890</v>
      </c>
      <c r="B16" s="7" t="s">
        <v>903</v>
      </c>
      <c r="C16" s="7"/>
      <c r="D16" s="12" t="s">
        <v>908</v>
      </c>
      <c r="E16" s="8" t="s">
        <v>82</v>
      </c>
      <c r="F16" s="13">
        <v>4.0000000000000001E-3</v>
      </c>
      <c r="G16" s="12"/>
    </row>
    <row r="17" spans="1:7" x14ac:dyDescent="0.25">
      <c r="A17" s="7" t="s">
        <v>890</v>
      </c>
      <c r="B17" s="7" t="s">
        <v>903</v>
      </c>
      <c r="C17" s="7"/>
      <c r="D17" s="12" t="s">
        <v>909</v>
      </c>
      <c r="E17" s="8" t="s">
        <v>82</v>
      </c>
      <c r="F17" s="13">
        <v>5.0000000000000001E-3</v>
      </c>
      <c r="G17" s="12"/>
    </row>
    <row r="18" spans="1:7" x14ac:dyDescent="0.25">
      <c r="A18" s="7" t="s">
        <v>890</v>
      </c>
      <c r="B18" s="7" t="s">
        <v>903</v>
      </c>
      <c r="C18" s="7"/>
      <c r="D18" s="12" t="s">
        <v>910</v>
      </c>
      <c r="E18" s="8" t="s">
        <v>82</v>
      </c>
      <c r="F18" s="13">
        <v>2E-3</v>
      </c>
      <c r="G18" s="12"/>
    </row>
    <row r="19" spans="1:7" x14ac:dyDescent="0.25">
      <c r="A19" s="7" t="s">
        <v>890</v>
      </c>
      <c r="B19" s="7" t="s">
        <v>903</v>
      </c>
      <c r="C19" s="7"/>
      <c r="D19" s="12" t="s">
        <v>911</v>
      </c>
      <c r="E19" s="8" t="s">
        <v>82</v>
      </c>
      <c r="F19" s="13">
        <v>5.8000000000000003E-2</v>
      </c>
      <c r="G19" s="12"/>
    </row>
    <row r="20" spans="1:7" x14ac:dyDescent="0.25">
      <c r="A20" s="7" t="s">
        <v>890</v>
      </c>
      <c r="B20" s="7" t="s">
        <v>903</v>
      </c>
      <c r="C20" s="7"/>
      <c r="D20" s="12" t="s">
        <v>912</v>
      </c>
      <c r="E20" s="8" t="s">
        <v>82</v>
      </c>
      <c r="F20" s="13">
        <v>1.0999999999999999E-2</v>
      </c>
      <c r="G20" s="12"/>
    </row>
    <row r="21" spans="1:7" x14ac:dyDescent="0.25">
      <c r="A21" s="7" t="s">
        <v>890</v>
      </c>
      <c r="B21" s="7" t="s">
        <v>903</v>
      </c>
      <c r="C21" s="7"/>
      <c r="D21" s="12" t="s">
        <v>913</v>
      </c>
      <c r="E21" s="8" t="s">
        <v>82</v>
      </c>
      <c r="F21" s="13">
        <v>1.4E-2</v>
      </c>
      <c r="G21" s="12"/>
    </row>
    <row r="22" spans="1:7" x14ac:dyDescent="0.25">
      <c r="A22" s="7" t="s">
        <v>890</v>
      </c>
      <c r="B22" s="7" t="s">
        <v>903</v>
      </c>
      <c r="C22" s="7"/>
      <c r="D22" s="12" t="s">
        <v>914</v>
      </c>
      <c r="E22" s="8" t="s">
        <v>82</v>
      </c>
      <c r="F22" s="13">
        <v>1.0999999999999999E-2</v>
      </c>
      <c r="G22" s="12"/>
    </row>
    <row r="23" spans="1:7" x14ac:dyDescent="0.25">
      <c r="A23" s="7" t="s">
        <v>890</v>
      </c>
      <c r="B23" s="7" t="s">
        <v>903</v>
      </c>
      <c r="C23" s="7"/>
      <c r="D23" s="12" t="s">
        <v>915</v>
      </c>
      <c r="E23" s="8" t="s">
        <v>82</v>
      </c>
      <c r="F23" s="13">
        <v>5.0000000000000001E-3</v>
      </c>
      <c r="G23" s="12"/>
    </row>
    <row r="24" spans="1:7" x14ac:dyDescent="0.25">
      <c r="A24" s="7" t="s">
        <v>890</v>
      </c>
      <c r="B24" s="7" t="s">
        <v>916</v>
      </c>
      <c r="C24" s="7"/>
      <c r="D24" s="12" t="s">
        <v>917</v>
      </c>
      <c r="E24" s="8" t="s">
        <v>82</v>
      </c>
      <c r="F24" s="13">
        <v>0.14799999999999999</v>
      </c>
      <c r="G24" s="12"/>
    </row>
    <row r="25" spans="1:7" x14ac:dyDescent="0.25">
      <c r="A25" s="7" t="s">
        <v>890</v>
      </c>
      <c r="B25" s="7" t="s">
        <v>916</v>
      </c>
      <c r="C25" s="7"/>
      <c r="D25" s="12" t="s">
        <v>918</v>
      </c>
      <c r="E25" s="8" t="s">
        <v>82</v>
      </c>
      <c r="F25" s="13">
        <v>0.17699999999999999</v>
      </c>
      <c r="G25" s="12"/>
    </row>
    <row r="26" spans="1:7" x14ac:dyDescent="0.25">
      <c r="A26" s="7" t="s">
        <v>890</v>
      </c>
      <c r="B26" s="7" t="s">
        <v>916</v>
      </c>
      <c r="C26" s="7"/>
      <c r="D26" s="12" t="s">
        <v>919</v>
      </c>
      <c r="E26" s="8" t="s">
        <v>82</v>
      </c>
      <c r="F26" s="13">
        <v>0.152</v>
      </c>
      <c r="G26" s="12"/>
    </row>
    <row r="27" spans="1:7" x14ac:dyDescent="0.25">
      <c r="A27" s="7" t="s">
        <v>890</v>
      </c>
      <c r="B27" s="7" t="s">
        <v>920</v>
      </c>
      <c r="C27" s="7"/>
      <c r="D27" s="12" t="s">
        <v>921</v>
      </c>
      <c r="E27" s="8" t="s">
        <v>82</v>
      </c>
      <c r="F27" s="13">
        <v>2E-3</v>
      </c>
      <c r="G27" s="12"/>
    </row>
    <row r="28" spans="1:7" ht="25.5" x14ac:dyDescent="0.25">
      <c r="A28" s="7" t="s">
        <v>890</v>
      </c>
      <c r="B28" s="7" t="s">
        <v>920</v>
      </c>
      <c r="C28" s="7"/>
      <c r="D28" s="12" t="s">
        <v>922</v>
      </c>
      <c r="E28" s="8" t="s">
        <v>82</v>
      </c>
      <c r="F28" s="13">
        <v>1E-3</v>
      </c>
      <c r="G28" s="12"/>
    </row>
    <row r="29" spans="1:7" x14ac:dyDescent="0.25">
      <c r="A29" s="7" t="s">
        <v>890</v>
      </c>
      <c r="B29" s="7" t="s">
        <v>920</v>
      </c>
      <c r="C29" s="7"/>
      <c r="D29" s="12" t="s">
        <v>923</v>
      </c>
      <c r="E29" s="8" t="s">
        <v>82</v>
      </c>
      <c r="F29" s="13">
        <v>1E-3</v>
      </c>
      <c r="G29" s="12"/>
    </row>
    <row r="30" spans="1:7" x14ac:dyDescent="0.25">
      <c r="A30" s="7" t="s">
        <v>890</v>
      </c>
      <c r="B30" s="7" t="s">
        <v>924</v>
      </c>
      <c r="C30" s="7"/>
      <c r="D30" s="12" t="s">
        <v>925</v>
      </c>
      <c r="E30" s="8" t="s">
        <v>82</v>
      </c>
      <c r="F30" s="13">
        <v>1E-3</v>
      </c>
      <c r="G30" s="12"/>
    </row>
    <row r="31" spans="1:7" x14ac:dyDescent="0.25">
      <c r="A31" s="7" t="s">
        <v>890</v>
      </c>
      <c r="B31" s="7" t="s">
        <v>924</v>
      </c>
      <c r="C31" s="7"/>
      <c r="D31" s="12" t="s">
        <v>926</v>
      </c>
      <c r="E31" s="8" t="s">
        <v>82</v>
      </c>
      <c r="F31" s="13">
        <v>1E-3</v>
      </c>
      <c r="G31" s="12"/>
    </row>
    <row r="32" spans="1:7" x14ac:dyDescent="0.25">
      <c r="A32" s="7" t="s">
        <v>890</v>
      </c>
      <c r="B32" s="7" t="s">
        <v>924</v>
      </c>
      <c r="C32" s="7"/>
      <c r="D32" s="12" t="s">
        <v>927</v>
      </c>
      <c r="E32" s="8" t="s">
        <v>82</v>
      </c>
      <c r="F32" s="13">
        <v>1E-3</v>
      </c>
      <c r="G32" s="12"/>
    </row>
    <row r="33" spans="1:7" x14ac:dyDescent="0.25">
      <c r="A33" s="7" t="s">
        <v>890</v>
      </c>
      <c r="B33" s="7" t="s">
        <v>924</v>
      </c>
      <c r="C33" s="7"/>
      <c r="D33" s="12" t="s">
        <v>928</v>
      </c>
      <c r="E33" s="8" t="s">
        <v>82</v>
      </c>
      <c r="F33" s="13">
        <v>0</v>
      </c>
      <c r="G33" s="12"/>
    </row>
    <row r="34" spans="1:7" x14ac:dyDescent="0.25">
      <c r="A34" s="7" t="s">
        <v>890</v>
      </c>
      <c r="B34" s="7" t="s">
        <v>929</v>
      </c>
      <c r="C34" s="7"/>
      <c r="D34" s="12" t="s">
        <v>930</v>
      </c>
      <c r="E34" s="8" t="s">
        <v>82</v>
      </c>
      <c r="F34" s="13">
        <v>7.0000000000000001E-3</v>
      </c>
      <c r="G34" s="12"/>
    </row>
    <row r="35" spans="1:7" x14ac:dyDescent="0.25">
      <c r="A35" s="7" t="s">
        <v>890</v>
      </c>
      <c r="B35" s="7" t="s">
        <v>929</v>
      </c>
      <c r="C35" s="7"/>
      <c r="D35" s="12" t="s">
        <v>931</v>
      </c>
      <c r="E35" s="8" t="s">
        <v>82</v>
      </c>
      <c r="F35" s="13">
        <v>0.03</v>
      </c>
      <c r="G35" s="12"/>
    </row>
    <row r="36" spans="1:7" x14ac:dyDescent="0.25">
      <c r="A36" s="7" t="s">
        <v>890</v>
      </c>
      <c r="B36" s="7" t="s">
        <v>929</v>
      </c>
      <c r="C36" s="7"/>
      <c r="D36" s="12" t="s">
        <v>932</v>
      </c>
      <c r="E36" s="8" t="s">
        <v>82</v>
      </c>
      <c r="F36" s="13">
        <v>3.0000000000000001E-3</v>
      </c>
      <c r="G36" s="12"/>
    </row>
    <row r="37" spans="1:7" x14ac:dyDescent="0.25">
      <c r="A37" s="7" t="s">
        <v>890</v>
      </c>
      <c r="B37" s="7" t="s">
        <v>929</v>
      </c>
      <c r="C37" s="7"/>
      <c r="D37" s="12" t="s">
        <v>933</v>
      </c>
      <c r="E37" s="8" t="s">
        <v>82</v>
      </c>
      <c r="F37" s="13">
        <v>1.4E-2</v>
      </c>
      <c r="G37" s="12"/>
    </row>
    <row r="38" spans="1:7" x14ac:dyDescent="0.25">
      <c r="A38" s="7" t="s">
        <v>890</v>
      </c>
      <c r="B38" s="7" t="s">
        <v>929</v>
      </c>
      <c r="C38" s="7"/>
      <c r="D38" s="12" t="s">
        <v>934</v>
      </c>
      <c r="E38" s="8" t="s">
        <v>82</v>
      </c>
      <c r="F38" s="13">
        <v>7.0000000000000001E-3</v>
      </c>
      <c r="G38" s="12"/>
    </row>
    <row r="39" spans="1:7" x14ac:dyDescent="0.25">
      <c r="A39" s="7" t="s">
        <v>890</v>
      </c>
      <c r="B39" s="7" t="s">
        <v>929</v>
      </c>
      <c r="C39" s="7"/>
      <c r="D39" s="12" t="s">
        <v>935</v>
      </c>
      <c r="E39" s="8" t="s">
        <v>82</v>
      </c>
      <c r="F39" s="13">
        <v>3.0000000000000001E-3</v>
      </c>
      <c r="G39" s="12"/>
    </row>
    <row r="40" spans="1:7" x14ac:dyDescent="0.25">
      <c r="A40" s="7" t="s">
        <v>890</v>
      </c>
      <c r="B40" s="7" t="s">
        <v>929</v>
      </c>
      <c r="C40" s="7"/>
      <c r="D40" s="12" t="s">
        <v>936</v>
      </c>
      <c r="E40" s="8" t="s">
        <v>82</v>
      </c>
      <c r="F40" s="13">
        <v>8.0000000000000002E-3</v>
      </c>
      <c r="G40" s="12"/>
    </row>
    <row r="41" spans="1:7" x14ac:dyDescent="0.25">
      <c r="A41" s="7" t="s">
        <v>890</v>
      </c>
      <c r="B41" s="7" t="s">
        <v>929</v>
      </c>
      <c r="C41" s="7"/>
      <c r="D41" s="12" t="s">
        <v>937</v>
      </c>
      <c r="E41" s="8" t="s">
        <v>82</v>
      </c>
      <c r="F41" s="13">
        <v>1.4999999999999999E-2</v>
      </c>
      <c r="G41" s="12"/>
    </row>
    <row r="42" spans="1:7" x14ac:dyDescent="0.25">
      <c r="A42" s="7" t="s">
        <v>890</v>
      </c>
      <c r="B42" s="7" t="s">
        <v>929</v>
      </c>
      <c r="C42" s="7"/>
      <c r="D42" s="12" t="s">
        <v>938</v>
      </c>
      <c r="E42" s="8" t="s">
        <v>82</v>
      </c>
      <c r="F42" s="13">
        <v>6.0000000000000001E-3</v>
      </c>
      <c r="G42" s="12"/>
    </row>
    <row r="43" spans="1:7" x14ac:dyDescent="0.25">
      <c r="A43" s="7" t="s">
        <v>890</v>
      </c>
      <c r="B43" s="7" t="s">
        <v>939</v>
      </c>
      <c r="C43" s="7"/>
      <c r="D43" s="12" t="s">
        <v>940</v>
      </c>
      <c r="E43" s="8" t="s">
        <v>82</v>
      </c>
      <c r="F43" s="13">
        <v>1E-3</v>
      </c>
      <c r="G43" s="12"/>
    </row>
    <row r="44" spans="1:7" x14ac:dyDescent="0.25">
      <c r="A44" s="7" t="s">
        <v>890</v>
      </c>
      <c r="B44" s="7" t="s">
        <v>939</v>
      </c>
      <c r="C44" s="7"/>
      <c r="D44" s="12" t="s">
        <v>941</v>
      </c>
      <c r="E44" s="8" t="s">
        <v>82</v>
      </c>
      <c r="F44" s="13">
        <v>1E-3</v>
      </c>
      <c r="G44" s="12"/>
    </row>
    <row r="45" spans="1:7" x14ac:dyDescent="0.25">
      <c r="A45" s="7" t="s">
        <v>890</v>
      </c>
      <c r="B45" s="7" t="s">
        <v>939</v>
      </c>
      <c r="C45" s="7"/>
      <c r="D45" s="12" t="s">
        <v>942</v>
      </c>
      <c r="E45" s="8" t="s">
        <v>82</v>
      </c>
      <c r="F45" s="13">
        <v>1E-3</v>
      </c>
      <c r="G45" s="12"/>
    </row>
    <row r="46" spans="1:7" x14ac:dyDescent="0.25">
      <c r="A46" s="7" t="s">
        <v>890</v>
      </c>
      <c r="B46" s="7" t="s">
        <v>939</v>
      </c>
      <c r="C46" s="7"/>
      <c r="D46" s="12" t="s">
        <v>943</v>
      </c>
      <c r="E46" s="8" t="s">
        <v>82</v>
      </c>
      <c r="F46" s="13">
        <v>1E-3</v>
      </c>
      <c r="G46" s="12"/>
    </row>
    <row r="47" spans="1:7" x14ac:dyDescent="0.25">
      <c r="A47" s="7" t="s">
        <v>890</v>
      </c>
      <c r="B47" s="7" t="s">
        <v>939</v>
      </c>
      <c r="C47" s="7"/>
      <c r="D47" s="12" t="s">
        <v>944</v>
      </c>
      <c r="E47" s="8" t="s">
        <v>82</v>
      </c>
      <c r="F47" s="13">
        <v>1E-3</v>
      </c>
      <c r="G47" s="12"/>
    </row>
    <row r="48" spans="1:7" x14ac:dyDescent="0.25">
      <c r="A48" s="7" t="s">
        <v>890</v>
      </c>
      <c r="B48" s="7" t="s">
        <v>939</v>
      </c>
      <c r="C48" s="7"/>
      <c r="D48" s="12" t="s">
        <v>945</v>
      </c>
      <c r="E48" s="8" t="s">
        <v>82</v>
      </c>
      <c r="F48" s="13">
        <v>1E-3</v>
      </c>
      <c r="G48" s="12"/>
    </row>
    <row r="49" spans="1:7" x14ac:dyDescent="0.25">
      <c r="A49" s="7" t="s">
        <v>890</v>
      </c>
      <c r="B49" s="7" t="s">
        <v>939</v>
      </c>
      <c r="C49" s="7"/>
      <c r="D49" s="12" t="s">
        <v>946</v>
      </c>
      <c r="E49" s="8" t="s">
        <v>82</v>
      </c>
      <c r="F49" s="13">
        <v>1E-3</v>
      </c>
      <c r="G49" s="12"/>
    </row>
    <row r="50" spans="1:7" x14ac:dyDescent="0.25">
      <c r="A50" s="7" t="s">
        <v>890</v>
      </c>
      <c r="B50" s="7" t="s">
        <v>939</v>
      </c>
      <c r="C50" s="7"/>
      <c r="D50" s="12" t="s">
        <v>947</v>
      </c>
      <c r="E50" s="8" t="s">
        <v>82</v>
      </c>
      <c r="F50" s="13">
        <v>1E-3</v>
      </c>
      <c r="G50" s="12"/>
    </row>
    <row r="51" spans="1:7" x14ac:dyDescent="0.25">
      <c r="A51" s="7" t="s">
        <v>890</v>
      </c>
      <c r="B51" s="7" t="s">
        <v>939</v>
      </c>
      <c r="C51" s="7"/>
      <c r="D51" s="12" t="s">
        <v>948</v>
      </c>
      <c r="E51" s="8" t="s">
        <v>82</v>
      </c>
      <c r="F51" s="13">
        <v>1E-3</v>
      </c>
      <c r="G51" s="12"/>
    </row>
    <row r="52" spans="1:7" x14ac:dyDescent="0.25">
      <c r="A52" s="7" t="s">
        <v>890</v>
      </c>
      <c r="B52" s="7" t="s">
        <v>939</v>
      </c>
      <c r="C52" s="7"/>
      <c r="D52" s="12" t="s">
        <v>949</v>
      </c>
      <c r="E52" s="8" t="s">
        <v>82</v>
      </c>
      <c r="F52" s="13">
        <v>1E-3</v>
      </c>
      <c r="G52" s="12"/>
    </row>
    <row r="53" spans="1:7" x14ac:dyDescent="0.25">
      <c r="A53" s="7" t="s">
        <v>890</v>
      </c>
      <c r="B53" s="7" t="s">
        <v>950</v>
      </c>
      <c r="C53" s="7"/>
      <c r="D53" s="12" t="s">
        <v>951</v>
      </c>
      <c r="E53" s="8" t="s">
        <v>82</v>
      </c>
      <c r="F53" s="13">
        <v>1E-3</v>
      </c>
      <c r="G53" s="12"/>
    </row>
    <row r="54" spans="1:7" x14ac:dyDescent="0.25">
      <c r="A54" s="7" t="s">
        <v>890</v>
      </c>
      <c r="B54" s="7" t="s">
        <v>950</v>
      </c>
      <c r="C54" s="7"/>
      <c r="D54" s="12" t="s">
        <v>892</v>
      </c>
      <c r="E54" s="8" t="s">
        <v>82</v>
      </c>
      <c r="F54" s="13">
        <v>1E-3</v>
      </c>
      <c r="G54" s="12"/>
    </row>
    <row r="55" spans="1:7" x14ac:dyDescent="0.25">
      <c r="A55" s="7" t="s">
        <v>890</v>
      </c>
      <c r="B55" s="7" t="s">
        <v>950</v>
      </c>
      <c r="C55" s="7"/>
      <c r="D55" s="12" t="s">
        <v>952</v>
      </c>
      <c r="E55" s="8" t="s">
        <v>82</v>
      </c>
      <c r="F55" s="13">
        <v>1E-3</v>
      </c>
      <c r="G55" s="12"/>
    </row>
    <row r="56" spans="1:7" x14ac:dyDescent="0.25">
      <c r="A56" s="7" t="s">
        <v>890</v>
      </c>
      <c r="B56" s="7" t="s">
        <v>950</v>
      </c>
      <c r="C56" s="7"/>
      <c r="D56" s="12" t="s">
        <v>953</v>
      </c>
      <c r="E56" s="8" t="s">
        <v>82</v>
      </c>
      <c r="F56" s="13">
        <v>1E-3</v>
      </c>
      <c r="G56" s="12"/>
    </row>
    <row r="57" spans="1:7" x14ac:dyDescent="0.25">
      <c r="A57" s="7" t="s">
        <v>890</v>
      </c>
      <c r="B57" s="7" t="s">
        <v>950</v>
      </c>
      <c r="C57" s="7"/>
      <c r="D57" s="12" t="s">
        <v>954</v>
      </c>
      <c r="E57" s="8" t="s">
        <v>82</v>
      </c>
      <c r="F57" s="13">
        <v>1E-3</v>
      </c>
      <c r="G57" s="12"/>
    </row>
    <row r="58" spans="1:7" x14ac:dyDescent="0.25">
      <c r="A58" s="7" t="s">
        <v>890</v>
      </c>
      <c r="B58" s="7" t="s">
        <v>950</v>
      </c>
      <c r="C58" s="7"/>
      <c r="D58" s="12" t="s">
        <v>955</v>
      </c>
      <c r="E58" s="8" t="s">
        <v>82</v>
      </c>
      <c r="F58" s="13">
        <v>1E-3</v>
      </c>
      <c r="G58" s="12"/>
    </row>
    <row r="59" spans="1:7" x14ac:dyDescent="0.25">
      <c r="A59" s="7" t="s">
        <v>890</v>
      </c>
      <c r="B59" s="7" t="s">
        <v>950</v>
      </c>
      <c r="C59" s="7"/>
      <c r="D59" s="12" t="s">
        <v>956</v>
      </c>
      <c r="E59" s="8" t="s">
        <v>82</v>
      </c>
      <c r="F59" s="13">
        <v>1E-3</v>
      </c>
      <c r="G59" s="12"/>
    </row>
    <row r="60" spans="1:7" x14ac:dyDescent="0.25">
      <c r="A60" s="7" t="s">
        <v>890</v>
      </c>
      <c r="B60" s="7" t="s">
        <v>957</v>
      </c>
      <c r="C60" s="7"/>
      <c r="D60" s="12" t="s">
        <v>892</v>
      </c>
      <c r="E60" s="8" t="s">
        <v>82</v>
      </c>
      <c r="F60" s="13">
        <v>1E-3</v>
      </c>
      <c r="G60" s="12"/>
    </row>
    <row r="61" spans="1:7" x14ac:dyDescent="0.25">
      <c r="A61" s="7" t="s">
        <v>890</v>
      </c>
      <c r="B61" s="7" t="s">
        <v>957</v>
      </c>
      <c r="C61" s="7"/>
      <c r="D61" s="12" t="s">
        <v>958</v>
      </c>
      <c r="E61" s="8" t="s">
        <v>82</v>
      </c>
      <c r="F61" s="13">
        <v>1E-3</v>
      </c>
      <c r="G61" s="12"/>
    </row>
    <row r="62" spans="1:7" x14ac:dyDescent="0.25">
      <c r="A62" s="7" t="s">
        <v>890</v>
      </c>
      <c r="B62" s="7" t="s">
        <v>957</v>
      </c>
      <c r="C62" s="7"/>
      <c r="D62" s="12" t="s">
        <v>959</v>
      </c>
      <c r="E62" s="8" t="s">
        <v>82</v>
      </c>
      <c r="F62" s="13">
        <v>1E-3</v>
      </c>
      <c r="G62" s="12"/>
    </row>
    <row r="63" spans="1:7" x14ac:dyDescent="0.25">
      <c r="A63" s="7" t="s">
        <v>890</v>
      </c>
      <c r="B63" s="7" t="s">
        <v>957</v>
      </c>
      <c r="C63" s="7"/>
      <c r="D63" s="12" t="s">
        <v>960</v>
      </c>
      <c r="E63" s="8" t="s">
        <v>82</v>
      </c>
      <c r="F63" s="13">
        <v>1E-3</v>
      </c>
      <c r="G63" s="12"/>
    </row>
    <row r="64" spans="1:7" x14ac:dyDescent="0.25">
      <c r="A64" s="7" t="s">
        <v>890</v>
      </c>
      <c r="B64" s="7" t="s">
        <v>957</v>
      </c>
      <c r="C64" s="7"/>
      <c r="D64" s="12" t="s">
        <v>961</v>
      </c>
      <c r="E64" s="8" t="s">
        <v>82</v>
      </c>
      <c r="F64" s="13">
        <v>1E-3</v>
      </c>
      <c r="G64" s="12"/>
    </row>
    <row r="65" spans="1:7" x14ac:dyDescent="0.25">
      <c r="A65" s="7" t="s">
        <v>890</v>
      </c>
      <c r="B65" s="7" t="s">
        <v>957</v>
      </c>
      <c r="C65" s="7"/>
      <c r="D65" s="12" t="s">
        <v>962</v>
      </c>
      <c r="E65" s="8" t="s">
        <v>82</v>
      </c>
      <c r="F65" s="13">
        <v>3.0000000000000001E-3</v>
      </c>
      <c r="G65" s="12"/>
    </row>
    <row r="66" spans="1:7" x14ac:dyDescent="0.25">
      <c r="A66" s="7" t="s">
        <v>890</v>
      </c>
      <c r="B66" s="7" t="s">
        <v>957</v>
      </c>
      <c r="C66" s="7"/>
      <c r="D66" s="12" t="s">
        <v>963</v>
      </c>
      <c r="E66" s="8" t="s">
        <v>82</v>
      </c>
      <c r="F66" s="13">
        <v>2E-3</v>
      </c>
      <c r="G66" s="12"/>
    </row>
    <row r="67" spans="1:7" x14ac:dyDescent="0.25">
      <c r="A67" s="7" t="s">
        <v>890</v>
      </c>
      <c r="B67" s="7" t="s">
        <v>957</v>
      </c>
      <c r="C67" s="7"/>
      <c r="D67" s="12" t="s">
        <v>964</v>
      </c>
      <c r="E67" s="8" t="s">
        <v>82</v>
      </c>
      <c r="F67" s="13">
        <v>1E-3</v>
      </c>
      <c r="G67" s="12"/>
    </row>
    <row r="68" spans="1:7" x14ac:dyDescent="0.25">
      <c r="A68" s="7" t="s">
        <v>890</v>
      </c>
      <c r="B68" s="7" t="s">
        <v>957</v>
      </c>
      <c r="C68" s="7"/>
      <c r="D68" s="12" t="s">
        <v>965</v>
      </c>
      <c r="E68" s="8" t="s">
        <v>82</v>
      </c>
      <c r="F68" s="13">
        <v>1E-3</v>
      </c>
      <c r="G68" s="12"/>
    </row>
    <row r="69" spans="1:7" x14ac:dyDescent="0.25">
      <c r="A69" s="7" t="s">
        <v>890</v>
      </c>
      <c r="B69" s="7" t="s">
        <v>957</v>
      </c>
      <c r="C69" s="7"/>
      <c r="D69" s="12" t="s">
        <v>966</v>
      </c>
      <c r="E69" s="8" t="s">
        <v>82</v>
      </c>
      <c r="F69" s="13">
        <v>1E-3</v>
      </c>
      <c r="G69" s="12"/>
    </row>
    <row r="70" spans="1:7" x14ac:dyDescent="0.25">
      <c r="A70" s="7" t="s">
        <v>890</v>
      </c>
      <c r="B70" s="7" t="s">
        <v>957</v>
      </c>
      <c r="C70" s="7"/>
      <c r="D70" s="12" t="s">
        <v>967</v>
      </c>
      <c r="E70" s="8" t="s">
        <v>82</v>
      </c>
      <c r="F70" s="13">
        <v>1E-3</v>
      </c>
      <c r="G70" s="12"/>
    </row>
    <row r="71" spans="1:7" x14ac:dyDescent="0.25">
      <c r="A71" s="7" t="s">
        <v>890</v>
      </c>
      <c r="B71" s="7" t="s">
        <v>957</v>
      </c>
      <c r="C71" s="7"/>
      <c r="D71" s="12" t="s">
        <v>968</v>
      </c>
      <c r="E71" s="8" t="s">
        <v>82</v>
      </c>
      <c r="F71" s="13">
        <v>1E-3</v>
      </c>
      <c r="G71" s="12"/>
    </row>
    <row r="72" spans="1:7" x14ac:dyDescent="0.25">
      <c r="A72" s="7" t="s">
        <v>890</v>
      </c>
      <c r="B72" s="7" t="s">
        <v>957</v>
      </c>
      <c r="C72" s="7"/>
      <c r="D72" s="12" t="s">
        <v>969</v>
      </c>
      <c r="E72" s="8" t="s">
        <v>82</v>
      </c>
      <c r="F72" s="13">
        <v>1E-3</v>
      </c>
      <c r="G72" s="12"/>
    </row>
    <row r="73" spans="1:7" x14ac:dyDescent="0.25">
      <c r="A73" s="7" t="s">
        <v>890</v>
      </c>
      <c r="B73" s="7" t="s">
        <v>957</v>
      </c>
      <c r="C73" s="7"/>
      <c r="D73" s="12" t="s">
        <v>970</v>
      </c>
      <c r="E73" s="8" t="s">
        <v>82</v>
      </c>
      <c r="F73" s="13">
        <v>1E-3</v>
      </c>
      <c r="G73" s="12"/>
    </row>
    <row r="74" spans="1:7" x14ac:dyDescent="0.25">
      <c r="A74" s="7" t="s">
        <v>890</v>
      </c>
      <c r="B74" s="7" t="s">
        <v>957</v>
      </c>
      <c r="C74" s="7"/>
      <c r="D74" s="12" t="s">
        <v>971</v>
      </c>
      <c r="E74" s="8" t="s">
        <v>82</v>
      </c>
      <c r="F74" s="13">
        <v>1E-3</v>
      </c>
      <c r="G74" s="12"/>
    </row>
    <row r="75" spans="1:7" x14ac:dyDescent="0.25">
      <c r="A75" s="7" t="s">
        <v>890</v>
      </c>
      <c r="B75" s="7" t="s">
        <v>957</v>
      </c>
      <c r="C75" s="7"/>
      <c r="D75" s="12" t="s">
        <v>972</v>
      </c>
      <c r="E75" s="8" t="s">
        <v>82</v>
      </c>
      <c r="F75" s="13">
        <v>1E-3</v>
      </c>
      <c r="G75" s="12"/>
    </row>
    <row r="76" spans="1:7" x14ac:dyDescent="0.25">
      <c r="A76" s="7" t="s">
        <v>890</v>
      </c>
      <c r="B76" s="7" t="s">
        <v>957</v>
      </c>
      <c r="C76" s="7"/>
      <c r="D76" s="12" t="s">
        <v>955</v>
      </c>
      <c r="E76" s="8" t="s">
        <v>82</v>
      </c>
      <c r="F76" s="13">
        <v>1E-3</v>
      </c>
      <c r="G76" s="12"/>
    </row>
    <row r="77" spans="1:7" x14ac:dyDescent="0.25">
      <c r="A77" s="7" t="s">
        <v>890</v>
      </c>
      <c r="B77" s="7" t="s">
        <v>957</v>
      </c>
      <c r="C77" s="7"/>
      <c r="D77" s="12" t="s">
        <v>973</v>
      </c>
      <c r="E77" s="8" t="s">
        <v>82</v>
      </c>
      <c r="F77" s="13">
        <v>1E-3</v>
      </c>
      <c r="G77" s="12"/>
    </row>
    <row r="78" spans="1:7" x14ac:dyDescent="0.25">
      <c r="A78" s="7" t="s">
        <v>890</v>
      </c>
      <c r="B78" s="7" t="s">
        <v>957</v>
      </c>
      <c r="C78" s="7"/>
      <c r="D78" s="12" t="s">
        <v>974</v>
      </c>
      <c r="E78" s="8" t="s">
        <v>82</v>
      </c>
      <c r="F78" s="13">
        <v>0.23799999999999999</v>
      </c>
      <c r="G78" s="12"/>
    </row>
    <row r="79" spans="1:7" x14ac:dyDescent="0.25">
      <c r="A79" s="7" t="s">
        <v>890</v>
      </c>
      <c r="B79" s="7" t="s">
        <v>975</v>
      </c>
      <c r="C79" s="7"/>
      <c r="D79" s="12" t="s">
        <v>930</v>
      </c>
      <c r="E79" s="8" t="s">
        <v>82</v>
      </c>
      <c r="F79" s="13">
        <v>2E-3</v>
      </c>
      <c r="G79" s="12"/>
    </row>
    <row r="80" spans="1:7" x14ac:dyDescent="0.25">
      <c r="A80" s="7" t="s">
        <v>890</v>
      </c>
      <c r="B80" s="7" t="s">
        <v>975</v>
      </c>
      <c r="C80" s="7"/>
      <c r="D80" s="12" t="s">
        <v>976</v>
      </c>
      <c r="E80" s="8" t="s">
        <v>82</v>
      </c>
      <c r="F80" s="13">
        <v>2E-3</v>
      </c>
      <c r="G80" s="12"/>
    </row>
    <row r="81" spans="1:7" x14ac:dyDescent="0.25">
      <c r="A81" s="7" t="s">
        <v>890</v>
      </c>
      <c r="B81" s="7" t="s">
        <v>975</v>
      </c>
      <c r="C81" s="7"/>
      <c r="D81" s="12" t="s">
        <v>977</v>
      </c>
      <c r="E81" s="8" t="s">
        <v>82</v>
      </c>
      <c r="F81" s="13">
        <v>2E-3</v>
      </c>
      <c r="G81" s="12"/>
    </row>
    <row r="82" spans="1:7" x14ac:dyDescent="0.25">
      <c r="A82" s="7" t="s">
        <v>890</v>
      </c>
      <c r="B82" s="7" t="s">
        <v>975</v>
      </c>
      <c r="C82" s="7"/>
      <c r="D82" s="12" t="s">
        <v>978</v>
      </c>
      <c r="E82" s="8" t="s">
        <v>82</v>
      </c>
      <c r="F82" s="13">
        <v>1E-3</v>
      </c>
      <c r="G82" s="12"/>
    </row>
    <row r="83" spans="1:7" x14ac:dyDescent="0.25">
      <c r="A83" s="7" t="s">
        <v>890</v>
      </c>
      <c r="B83" s="7" t="s">
        <v>975</v>
      </c>
      <c r="C83" s="7"/>
      <c r="D83" s="12" t="s">
        <v>979</v>
      </c>
      <c r="E83" s="8" t="s">
        <v>82</v>
      </c>
      <c r="F83" s="13">
        <v>1E-3</v>
      </c>
      <c r="G83" s="12"/>
    </row>
    <row r="84" spans="1:7" x14ac:dyDescent="0.25">
      <c r="A84" s="7" t="s">
        <v>890</v>
      </c>
      <c r="B84" s="7" t="s">
        <v>975</v>
      </c>
      <c r="C84" s="7"/>
      <c r="D84" s="12" t="s">
        <v>980</v>
      </c>
      <c r="E84" s="8" t="s">
        <v>82</v>
      </c>
      <c r="F84" s="13">
        <v>1E-3</v>
      </c>
      <c r="G84" s="12"/>
    </row>
    <row r="85" spans="1:7" x14ac:dyDescent="0.25">
      <c r="A85" s="7" t="s">
        <v>890</v>
      </c>
      <c r="B85" s="7" t="s">
        <v>975</v>
      </c>
      <c r="C85" s="7"/>
      <c r="D85" s="12" t="s">
        <v>981</v>
      </c>
      <c r="E85" s="8" t="s">
        <v>82</v>
      </c>
      <c r="F85" s="13">
        <v>1.0999999999999999E-2</v>
      </c>
      <c r="G85" s="12"/>
    </row>
    <row r="86" spans="1:7" x14ac:dyDescent="0.25">
      <c r="A86" s="7" t="s">
        <v>890</v>
      </c>
      <c r="B86" s="7" t="s">
        <v>975</v>
      </c>
      <c r="C86" s="7"/>
      <c r="D86" s="12" t="s">
        <v>982</v>
      </c>
      <c r="E86" s="8" t="s">
        <v>82</v>
      </c>
      <c r="F86" s="13">
        <v>1E-3</v>
      </c>
      <c r="G86" s="12"/>
    </row>
    <row r="87" spans="1:7" x14ac:dyDescent="0.25">
      <c r="A87" s="7" t="s">
        <v>890</v>
      </c>
      <c r="B87" s="7" t="s">
        <v>975</v>
      </c>
      <c r="C87" s="7"/>
      <c r="D87" s="12" t="s">
        <v>983</v>
      </c>
      <c r="E87" s="8" t="s">
        <v>82</v>
      </c>
      <c r="F87" s="13">
        <v>1E-3</v>
      </c>
      <c r="G87" s="12"/>
    </row>
    <row r="88" spans="1:7" x14ac:dyDescent="0.25">
      <c r="A88" s="7" t="s">
        <v>890</v>
      </c>
      <c r="B88" s="7" t="s">
        <v>975</v>
      </c>
      <c r="C88" s="7"/>
      <c r="D88" s="12" t="s">
        <v>984</v>
      </c>
      <c r="E88" s="8" t="s">
        <v>82</v>
      </c>
      <c r="F88" s="13">
        <v>1E-3</v>
      </c>
      <c r="G88" s="12"/>
    </row>
    <row r="89" spans="1:7" x14ac:dyDescent="0.25">
      <c r="A89" s="7" t="s">
        <v>890</v>
      </c>
      <c r="B89" s="7" t="s">
        <v>975</v>
      </c>
      <c r="C89" s="7"/>
      <c r="D89" s="12" t="s">
        <v>985</v>
      </c>
      <c r="E89" s="8" t="s">
        <v>82</v>
      </c>
      <c r="F89" s="13">
        <v>1E-3</v>
      </c>
      <c r="G89" s="12"/>
    </row>
    <row r="90" spans="1:7" x14ac:dyDescent="0.25">
      <c r="A90" s="7" t="s">
        <v>890</v>
      </c>
      <c r="B90" s="7" t="s">
        <v>975</v>
      </c>
      <c r="C90" s="7"/>
      <c r="D90" s="12" t="s">
        <v>986</v>
      </c>
      <c r="E90" s="8" t="s">
        <v>82</v>
      </c>
      <c r="F90" s="13">
        <v>2E-3</v>
      </c>
      <c r="G90" s="12"/>
    </row>
    <row r="91" spans="1:7" x14ac:dyDescent="0.25">
      <c r="A91" s="7" t="s">
        <v>890</v>
      </c>
      <c r="B91" s="7" t="s">
        <v>975</v>
      </c>
      <c r="C91" s="7"/>
      <c r="D91" s="12" t="s">
        <v>987</v>
      </c>
      <c r="E91" s="8" t="s">
        <v>82</v>
      </c>
      <c r="F91" s="13">
        <v>1E-3</v>
      </c>
      <c r="G91" s="12"/>
    </row>
    <row r="92" spans="1:7" x14ac:dyDescent="0.25">
      <c r="A92" s="7" t="s">
        <v>890</v>
      </c>
      <c r="B92" s="7" t="s">
        <v>975</v>
      </c>
      <c r="C92" s="7"/>
      <c r="D92" s="12" t="s">
        <v>988</v>
      </c>
      <c r="E92" s="8" t="s">
        <v>82</v>
      </c>
      <c r="F92" s="13">
        <v>1E-3</v>
      </c>
      <c r="G92" s="12"/>
    </row>
    <row r="93" spans="1:7" x14ac:dyDescent="0.25">
      <c r="A93" s="7" t="s">
        <v>890</v>
      </c>
      <c r="B93" s="7" t="s">
        <v>975</v>
      </c>
      <c r="C93" s="7"/>
      <c r="D93" s="12" t="s">
        <v>989</v>
      </c>
      <c r="E93" s="8" t="s">
        <v>82</v>
      </c>
      <c r="F93" s="13">
        <v>2E-3</v>
      </c>
      <c r="G93" s="12"/>
    </row>
    <row r="94" spans="1:7" x14ac:dyDescent="0.25">
      <c r="A94" s="7" t="s">
        <v>890</v>
      </c>
      <c r="B94" s="7" t="s">
        <v>975</v>
      </c>
      <c r="C94" s="7"/>
      <c r="D94" s="12" t="s">
        <v>990</v>
      </c>
      <c r="E94" s="8" t="s">
        <v>82</v>
      </c>
      <c r="F94" s="13">
        <v>1E-3</v>
      </c>
      <c r="G94" s="12"/>
    </row>
    <row r="95" spans="1:7" x14ac:dyDescent="0.25">
      <c r="A95" s="7" t="s">
        <v>890</v>
      </c>
      <c r="B95" s="7" t="s">
        <v>975</v>
      </c>
      <c r="C95" s="7"/>
      <c r="D95" s="12" t="s">
        <v>991</v>
      </c>
      <c r="E95" s="8" t="s">
        <v>82</v>
      </c>
      <c r="F95" s="13">
        <v>2E-3</v>
      </c>
      <c r="G95" s="12"/>
    </row>
    <row r="96" spans="1:7" x14ac:dyDescent="0.25">
      <c r="A96" s="7" t="s">
        <v>890</v>
      </c>
      <c r="B96" s="7" t="s">
        <v>975</v>
      </c>
      <c r="C96" s="7"/>
      <c r="D96" s="12" t="s">
        <v>992</v>
      </c>
      <c r="E96" s="8" t="s">
        <v>82</v>
      </c>
      <c r="F96" s="13">
        <v>1E-3</v>
      </c>
      <c r="G96" s="12"/>
    </row>
    <row r="97" spans="1:7" x14ac:dyDescent="0.25">
      <c r="A97" s="7" t="s">
        <v>890</v>
      </c>
      <c r="B97" s="7" t="s">
        <v>975</v>
      </c>
      <c r="C97" s="7"/>
      <c r="D97" s="12" t="s">
        <v>993</v>
      </c>
      <c r="E97" s="8" t="s">
        <v>82</v>
      </c>
      <c r="F97" s="13">
        <v>1E-3</v>
      </c>
      <c r="G97" s="12"/>
    </row>
    <row r="98" spans="1:7" x14ac:dyDescent="0.25">
      <c r="A98" s="7" t="s">
        <v>890</v>
      </c>
      <c r="B98" s="7" t="s">
        <v>975</v>
      </c>
      <c r="C98" s="7"/>
      <c r="D98" s="12" t="s">
        <v>994</v>
      </c>
      <c r="E98" s="8" t="s">
        <v>82</v>
      </c>
      <c r="F98" s="13">
        <v>1E-3</v>
      </c>
      <c r="G98" s="12"/>
    </row>
    <row r="99" spans="1:7" x14ac:dyDescent="0.25">
      <c r="A99" s="7" t="s">
        <v>890</v>
      </c>
      <c r="B99" s="7" t="s">
        <v>975</v>
      </c>
      <c r="C99" s="7"/>
      <c r="D99" s="12" t="s">
        <v>995</v>
      </c>
      <c r="E99" s="8" t="s">
        <v>82</v>
      </c>
      <c r="F99" s="13">
        <v>1E-3</v>
      </c>
      <c r="G99" s="12"/>
    </row>
    <row r="100" spans="1:7" x14ac:dyDescent="0.25">
      <c r="A100" s="7" t="s">
        <v>890</v>
      </c>
      <c r="B100" s="7" t="s">
        <v>975</v>
      </c>
      <c r="C100" s="7"/>
      <c r="D100" s="12" t="s">
        <v>996</v>
      </c>
      <c r="E100" s="8" t="s">
        <v>82</v>
      </c>
      <c r="F100" s="13">
        <v>1E-3</v>
      </c>
      <c r="G100" s="12"/>
    </row>
    <row r="101" spans="1:7" x14ac:dyDescent="0.25">
      <c r="A101" s="7" t="s">
        <v>890</v>
      </c>
      <c r="B101" s="7" t="s">
        <v>975</v>
      </c>
      <c r="C101" s="7"/>
      <c r="D101" s="12" t="s">
        <v>997</v>
      </c>
      <c r="E101" s="8" t="s">
        <v>82</v>
      </c>
      <c r="F101" s="13">
        <v>1E-3</v>
      </c>
      <c r="G101" s="12"/>
    </row>
    <row r="102" spans="1:7" x14ac:dyDescent="0.25">
      <c r="A102" s="7" t="s">
        <v>890</v>
      </c>
      <c r="B102" s="7" t="s">
        <v>975</v>
      </c>
      <c r="C102" s="7"/>
      <c r="D102" s="12" t="s">
        <v>998</v>
      </c>
      <c r="E102" s="8" t="s">
        <v>82</v>
      </c>
      <c r="F102" s="13">
        <v>1E-3</v>
      </c>
      <c r="G102" s="12"/>
    </row>
    <row r="103" spans="1:7" x14ac:dyDescent="0.25">
      <c r="A103" s="7" t="s">
        <v>890</v>
      </c>
      <c r="B103" s="7" t="s">
        <v>975</v>
      </c>
      <c r="C103" s="7"/>
      <c r="D103" s="12" t="s">
        <v>999</v>
      </c>
      <c r="E103" s="8" t="s">
        <v>82</v>
      </c>
      <c r="F103" s="13">
        <v>1E-3</v>
      </c>
      <c r="G103" s="12"/>
    </row>
    <row r="104" spans="1:7" x14ac:dyDescent="0.25">
      <c r="A104" s="7" t="s">
        <v>890</v>
      </c>
      <c r="B104" s="7" t="s">
        <v>975</v>
      </c>
      <c r="C104" s="7"/>
      <c r="D104" s="12" t="s">
        <v>1000</v>
      </c>
      <c r="E104" s="8" t="s">
        <v>82</v>
      </c>
      <c r="F104" s="13">
        <v>1E-3</v>
      </c>
      <c r="G104" s="12"/>
    </row>
    <row r="105" spans="1:7" x14ac:dyDescent="0.25">
      <c r="A105" s="7" t="s">
        <v>890</v>
      </c>
      <c r="B105" s="7" t="s">
        <v>1001</v>
      </c>
      <c r="C105" s="7"/>
      <c r="D105" s="12" t="s">
        <v>940</v>
      </c>
      <c r="E105" s="8" t="s">
        <v>82</v>
      </c>
      <c r="F105" s="13">
        <v>1E-3</v>
      </c>
      <c r="G105" s="12"/>
    </row>
    <row r="106" spans="1:7" x14ac:dyDescent="0.25">
      <c r="A106" s="7" t="s">
        <v>890</v>
      </c>
      <c r="B106" s="7" t="s">
        <v>1001</v>
      </c>
      <c r="C106" s="7"/>
      <c r="D106" s="12" t="s">
        <v>1002</v>
      </c>
      <c r="E106" s="8" t="s">
        <v>82</v>
      </c>
      <c r="F106" s="13">
        <v>2E-3</v>
      </c>
      <c r="G106" s="12"/>
    </row>
    <row r="107" spans="1:7" x14ac:dyDescent="0.25">
      <c r="A107" s="7" t="s">
        <v>890</v>
      </c>
      <c r="B107" s="7" t="s">
        <v>1001</v>
      </c>
      <c r="C107" s="7"/>
      <c r="D107" s="12" t="s">
        <v>1003</v>
      </c>
      <c r="E107" s="8" t="s">
        <v>82</v>
      </c>
      <c r="F107" s="13">
        <v>1E-3</v>
      </c>
      <c r="G107" s="12"/>
    </row>
    <row r="108" spans="1:7" x14ac:dyDescent="0.25">
      <c r="A108" s="7" t="s">
        <v>890</v>
      </c>
      <c r="B108" s="7" t="s">
        <v>1001</v>
      </c>
      <c r="C108" s="7"/>
      <c r="D108" s="12" t="s">
        <v>1004</v>
      </c>
      <c r="E108" s="8" t="s">
        <v>82</v>
      </c>
      <c r="F108" s="13">
        <v>1E-3</v>
      </c>
      <c r="G108" s="12"/>
    </row>
    <row r="109" spans="1:7" x14ac:dyDescent="0.25">
      <c r="A109" s="7" t="s">
        <v>890</v>
      </c>
      <c r="B109" s="7" t="s">
        <v>1001</v>
      </c>
      <c r="C109" s="7"/>
      <c r="D109" s="12" t="s">
        <v>1005</v>
      </c>
      <c r="E109" s="8" t="s">
        <v>82</v>
      </c>
      <c r="F109" s="13">
        <v>1E-3</v>
      </c>
      <c r="G109" s="12"/>
    </row>
    <row r="110" spans="1:7" x14ac:dyDescent="0.25">
      <c r="A110" s="7" t="s">
        <v>890</v>
      </c>
      <c r="B110" s="7" t="s">
        <v>1001</v>
      </c>
      <c r="C110" s="7"/>
      <c r="D110" s="12" t="s">
        <v>1006</v>
      </c>
      <c r="E110" s="8" t="s">
        <v>82</v>
      </c>
      <c r="F110" s="13">
        <v>1E-3</v>
      </c>
      <c r="G110" s="12"/>
    </row>
    <row r="111" spans="1:7" x14ac:dyDescent="0.25">
      <c r="A111" s="7" t="s">
        <v>890</v>
      </c>
      <c r="B111" s="7" t="s">
        <v>1001</v>
      </c>
      <c r="C111" s="7"/>
      <c r="D111" s="12" t="s">
        <v>1007</v>
      </c>
      <c r="E111" s="8" t="s">
        <v>82</v>
      </c>
      <c r="F111" s="13">
        <v>1E-3</v>
      </c>
      <c r="G111" s="12"/>
    </row>
    <row r="112" spans="1:7" x14ac:dyDescent="0.25">
      <c r="A112" s="7" t="s">
        <v>890</v>
      </c>
      <c r="B112" s="7" t="s">
        <v>1001</v>
      </c>
      <c r="C112" s="7"/>
      <c r="D112" s="12" t="s">
        <v>1008</v>
      </c>
      <c r="E112" s="8" t="s">
        <v>82</v>
      </c>
      <c r="F112" s="13">
        <v>1E-3</v>
      </c>
      <c r="G112" s="12"/>
    </row>
    <row r="113" spans="1:7" x14ac:dyDescent="0.25">
      <c r="A113" s="7" t="s">
        <v>890</v>
      </c>
      <c r="B113" s="7" t="s">
        <v>1001</v>
      </c>
      <c r="C113" s="7"/>
      <c r="D113" s="12" t="s">
        <v>1009</v>
      </c>
      <c r="E113" s="8" t="s">
        <v>82</v>
      </c>
      <c r="F113" s="13">
        <v>1E-3</v>
      </c>
      <c r="G113" s="12"/>
    </row>
    <row r="114" spans="1:7" x14ac:dyDescent="0.25">
      <c r="A114" s="7" t="s">
        <v>890</v>
      </c>
      <c r="B114" s="7" t="s">
        <v>1001</v>
      </c>
      <c r="C114" s="7"/>
      <c r="D114" s="12" t="s">
        <v>1010</v>
      </c>
      <c r="E114" s="8" t="s">
        <v>82</v>
      </c>
      <c r="F114" s="13">
        <v>1E-3</v>
      </c>
      <c r="G114" s="12"/>
    </row>
    <row r="115" spans="1:7" x14ac:dyDescent="0.25">
      <c r="A115" s="7" t="s">
        <v>890</v>
      </c>
      <c r="B115" s="7" t="s">
        <v>1001</v>
      </c>
      <c r="C115" s="7"/>
      <c r="D115" s="12" t="s">
        <v>1011</v>
      </c>
      <c r="E115" s="8" t="s">
        <v>82</v>
      </c>
      <c r="F115" s="13">
        <v>1E-3</v>
      </c>
      <c r="G115" s="12"/>
    </row>
    <row r="116" spans="1:7" x14ac:dyDescent="0.25">
      <c r="A116" s="7" t="s">
        <v>890</v>
      </c>
      <c r="B116" s="7" t="s">
        <v>1001</v>
      </c>
      <c r="C116" s="7"/>
      <c r="D116" s="12" t="s">
        <v>1012</v>
      </c>
      <c r="E116" s="8" t="s">
        <v>82</v>
      </c>
      <c r="F116" s="13">
        <v>1E-3</v>
      </c>
      <c r="G116" s="12"/>
    </row>
    <row r="117" spans="1:7" x14ac:dyDescent="0.25">
      <c r="A117" s="7" t="s">
        <v>890</v>
      </c>
      <c r="B117" s="7" t="s">
        <v>1001</v>
      </c>
      <c r="C117" s="7"/>
      <c r="D117" s="12" t="s">
        <v>1013</v>
      </c>
      <c r="E117" s="8" t="s">
        <v>82</v>
      </c>
      <c r="F117" s="13">
        <v>1E-3</v>
      </c>
      <c r="G117" s="12"/>
    </row>
    <row r="118" spans="1:7" x14ac:dyDescent="0.25">
      <c r="A118" s="7" t="s">
        <v>890</v>
      </c>
      <c r="B118" s="7" t="s">
        <v>1001</v>
      </c>
      <c r="C118" s="7"/>
      <c r="D118" s="12" t="s">
        <v>1014</v>
      </c>
      <c r="E118" s="8" t="s">
        <v>82</v>
      </c>
      <c r="F118" s="13">
        <v>1E-3</v>
      </c>
      <c r="G118" s="12"/>
    </row>
    <row r="119" spans="1:7" x14ac:dyDescent="0.25">
      <c r="A119" s="7" t="s">
        <v>890</v>
      </c>
      <c r="B119" s="7" t="s">
        <v>1001</v>
      </c>
      <c r="C119" s="7"/>
      <c r="D119" s="12" t="s">
        <v>1015</v>
      </c>
      <c r="E119" s="8" t="s">
        <v>82</v>
      </c>
      <c r="F119" s="13">
        <v>1E-3</v>
      </c>
      <c r="G119" s="12"/>
    </row>
    <row r="120" spans="1:7" x14ac:dyDescent="0.25">
      <c r="A120" s="7" t="s">
        <v>890</v>
      </c>
      <c r="B120" s="7" t="s">
        <v>1001</v>
      </c>
      <c r="C120" s="7"/>
      <c r="D120" s="12" t="s">
        <v>1016</v>
      </c>
      <c r="E120" s="8" t="s">
        <v>82</v>
      </c>
      <c r="F120" s="13">
        <v>1E-3</v>
      </c>
      <c r="G120" s="12"/>
    </row>
    <row r="121" spans="1:7" x14ac:dyDescent="0.25">
      <c r="A121" s="7" t="s">
        <v>890</v>
      </c>
      <c r="B121" s="7" t="s">
        <v>1001</v>
      </c>
      <c r="C121" s="7"/>
      <c r="D121" s="12" t="s">
        <v>1017</v>
      </c>
      <c r="E121" s="8" t="s">
        <v>82</v>
      </c>
      <c r="F121" s="13">
        <v>1E-3</v>
      </c>
      <c r="G121" s="12"/>
    </row>
    <row r="122" spans="1:7" x14ac:dyDescent="0.25">
      <c r="A122" s="7" t="s">
        <v>890</v>
      </c>
      <c r="B122" s="7" t="s">
        <v>1001</v>
      </c>
      <c r="C122" s="7"/>
      <c r="D122" s="12" t="s">
        <v>1018</v>
      </c>
      <c r="E122" s="8" t="s">
        <v>82</v>
      </c>
      <c r="F122" s="13">
        <v>1E-3</v>
      </c>
      <c r="G122" s="12"/>
    </row>
    <row r="123" spans="1:7" x14ac:dyDescent="0.25">
      <c r="A123" s="7" t="s">
        <v>890</v>
      </c>
      <c r="B123" s="7" t="s">
        <v>1001</v>
      </c>
      <c r="C123" s="7"/>
      <c r="D123" s="12" t="s">
        <v>1019</v>
      </c>
      <c r="E123" s="8" t="s">
        <v>82</v>
      </c>
      <c r="F123" s="13">
        <v>1E-3</v>
      </c>
      <c r="G123" s="12"/>
    </row>
    <row r="124" spans="1:7" x14ac:dyDescent="0.25">
      <c r="A124" s="7" t="s">
        <v>890</v>
      </c>
      <c r="B124" s="7" t="s">
        <v>1001</v>
      </c>
      <c r="C124" s="7"/>
      <c r="D124" s="12" t="s">
        <v>1020</v>
      </c>
      <c r="E124" s="8" t="s">
        <v>82</v>
      </c>
      <c r="F124" s="13">
        <v>1E-3</v>
      </c>
      <c r="G124" s="12"/>
    </row>
    <row r="125" spans="1:7" x14ac:dyDescent="0.25">
      <c r="A125" s="7" t="s">
        <v>890</v>
      </c>
      <c r="B125" s="7" t="s">
        <v>1021</v>
      </c>
      <c r="C125" s="7"/>
      <c r="D125" s="12" t="s">
        <v>1022</v>
      </c>
      <c r="E125" s="8" t="s">
        <v>82</v>
      </c>
      <c r="F125" s="13">
        <v>1E-3</v>
      </c>
      <c r="G125" s="12"/>
    </row>
    <row r="126" spans="1:7" x14ac:dyDescent="0.25">
      <c r="A126" s="7" t="s">
        <v>890</v>
      </c>
      <c r="B126" s="7" t="s">
        <v>1021</v>
      </c>
      <c r="C126" s="7"/>
      <c r="D126" s="12" t="s">
        <v>1023</v>
      </c>
      <c r="E126" s="8" t="s">
        <v>82</v>
      </c>
      <c r="F126" s="13">
        <v>1E-3</v>
      </c>
      <c r="G126" s="12"/>
    </row>
    <row r="127" spans="1:7" x14ac:dyDescent="0.25">
      <c r="A127" s="7" t="s">
        <v>890</v>
      </c>
      <c r="B127" s="7" t="s">
        <v>1021</v>
      </c>
      <c r="C127" s="7"/>
      <c r="D127" s="12" t="s">
        <v>1024</v>
      </c>
      <c r="E127" s="8" t="s">
        <v>82</v>
      </c>
      <c r="F127" s="13">
        <v>1E-3</v>
      </c>
      <c r="G127" s="12"/>
    </row>
    <row r="128" spans="1:7" x14ac:dyDescent="0.25">
      <c r="A128" s="7" t="s">
        <v>890</v>
      </c>
      <c r="B128" s="7" t="s">
        <v>1021</v>
      </c>
      <c r="C128" s="7"/>
      <c r="D128" s="12" t="s">
        <v>1025</v>
      </c>
      <c r="E128" s="8" t="s">
        <v>82</v>
      </c>
      <c r="F128" s="13">
        <v>1E-3</v>
      </c>
      <c r="G128" s="12"/>
    </row>
    <row r="129" spans="1:7" x14ac:dyDescent="0.25">
      <c r="A129" s="7" t="s">
        <v>890</v>
      </c>
      <c r="B129" s="7" t="s">
        <v>1021</v>
      </c>
      <c r="C129" s="7"/>
      <c r="D129" s="12" t="s">
        <v>1026</v>
      </c>
      <c r="E129" s="8" t="s">
        <v>82</v>
      </c>
      <c r="F129" s="13">
        <v>1E-3</v>
      </c>
      <c r="G129" s="12"/>
    </row>
    <row r="130" spans="1:7" x14ac:dyDescent="0.25">
      <c r="A130" s="7" t="s">
        <v>890</v>
      </c>
      <c r="B130" s="7" t="s">
        <v>1027</v>
      </c>
      <c r="C130" s="7"/>
      <c r="D130" s="12" t="s">
        <v>1028</v>
      </c>
      <c r="E130" s="8" t="s">
        <v>82</v>
      </c>
      <c r="F130" s="13">
        <v>1E-3</v>
      </c>
      <c r="G130" s="12"/>
    </row>
    <row r="131" spans="1:7" ht="25.5" x14ac:dyDescent="0.25">
      <c r="A131" s="7" t="s">
        <v>890</v>
      </c>
      <c r="B131" s="7" t="s">
        <v>1027</v>
      </c>
      <c r="C131" s="7"/>
      <c r="D131" s="12" t="s">
        <v>1029</v>
      </c>
      <c r="E131" s="8" t="s">
        <v>82</v>
      </c>
      <c r="F131" s="13">
        <v>7.7279999999999998</v>
      </c>
      <c r="G131" s="12"/>
    </row>
    <row r="132" spans="1:7" x14ac:dyDescent="0.25">
      <c r="A132" s="7" t="s">
        <v>890</v>
      </c>
      <c r="B132" s="7" t="s">
        <v>1027</v>
      </c>
      <c r="C132" s="7"/>
      <c r="D132" s="12" t="s">
        <v>1030</v>
      </c>
      <c r="E132" s="8" t="s">
        <v>82</v>
      </c>
      <c r="F132" s="13">
        <v>1E-3</v>
      </c>
      <c r="G132" s="12"/>
    </row>
    <row r="133" spans="1:7" x14ac:dyDescent="0.25">
      <c r="A133" s="7" t="s">
        <v>890</v>
      </c>
      <c r="B133" s="7" t="s">
        <v>1027</v>
      </c>
      <c r="C133" s="7"/>
      <c r="D133" s="12" t="s">
        <v>1031</v>
      </c>
      <c r="E133" s="8" t="s">
        <v>82</v>
      </c>
      <c r="F133" s="13">
        <v>1E-3</v>
      </c>
      <c r="G133" s="12"/>
    </row>
    <row r="134" spans="1:7" ht="25.5" x14ac:dyDescent="0.25">
      <c r="A134" s="7" t="s">
        <v>890</v>
      </c>
      <c r="B134" s="7" t="s">
        <v>1027</v>
      </c>
      <c r="C134" s="7"/>
      <c r="D134" s="12" t="s">
        <v>1032</v>
      </c>
      <c r="E134" s="8" t="s">
        <v>82</v>
      </c>
      <c r="F134" s="13">
        <v>1E-3</v>
      </c>
      <c r="G134" s="12"/>
    </row>
    <row r="135" spans="1:7" x14ac:dyDescent="0.25">
      <c r="A135" s="7" t="s">
        <v>890</v>
      </c>
      <c r="B135" s="7" t="s">
        <v>1027</v>
      </c>
      <c r="C135" s="7"/>
      <c r="D135" s="12" t="s">
        <v>1033</v>
      </c>
      <c r="E135" s="8" t="s">
        <v>82</v>
      </c>
      <c r="F135" s="13">
        <v>1E-3</v>
      </c>
      <c r="G135" s="12"/>
    </row>
    <row r="136" spans="1:7" x14ac:dyDescent="0.25">
      <c r="A136" s="7" t="s">
        <v>890</v>
      </c>
      <c r="B136" s="7" t="s">
        <v>1027</v>
      </c>
      <c r="C136" s="7"/>
      <c r="D136" s="12" t="s">
        <v>1034</v>
      </c>
      <c r="E136" s="8" t="s">
        <v>82</v>
      </c>
      <c r="F136" s="13">
        <v>1E-3</v>
      </c>
      <c r="G136" s="12"/>
    </row>
    <row r="137" spans="1:7" x14ac:dyDescent="0.25">
      <c r="A137" s="7" t="s">
        <v>890</v>
      </c>
      <c r="B137" s="7" t="s">
        <v>1027</v>
      </c>
      <c r="C137" s="7"/>
      <c r="D137" s="12" t="s">
        <v>1035</v>
      </c>
      <c r="E137" s="8" t="s">
        <v>82</v>
      </c>
      <c r="F137" s="13">
        <v>1E-3</v>
      </c>
      <c r="G137" s="12"/>
    </row>
    <row r="138" spans="1:7" x14ac:dyDescent="0.25">
      <c r="A138" s="7" t="s">
        <v>890</v>
      </c>
      <c r="B138" s="7" t="s">
        <v>1027</v>
      </c>
      <c r="C138" s="7"/>
      <c r="D138" s="12" t="s">
        <v>1036</v>
      </c>
      <c r="E138" s="8" t="s">
        <v>82</v>
      </c>
      <c r="F138" s="13">
        <v>1E-3</v>
      </c>
      <c r="G138" s="12"/>
    </row>
    <row r="139" spans="1:7" x14ac:dyDescent="0.25">
      <c r="A139" s="7" t="s">
        <v>890</v>
      </c>
      <c r="B139" s="7" t="s">
        <v>1027</v>
      </c>
      <c r="C139" s="7"/>
      <c r="D139" s="12" t="s">
        <v>1037</v>
      </c>
      <c r="E139" s="8" t="s">
        <v>82</v>
      </c>
      <c r="F139" s="13">
        <v>1E-3</v>
      </c>
      <c r="G139" s="12"/>
    </row>
    <row r="140" spans="1:7" x14ac:dyDescent="0.25">
      <c r="A140" s="7" t="s">
        <v>890</v>
      </c>
      <c r="B140" s="7" t="s">
        <v>1027</v>
      </c>
      <c r="C140" s="7"/>
      <c r="D140" s="12" t="s">
        <v>1038</v>
      </c>
      <c r="E140" s="8" t="s">
        <v>82</v>
      </c>
      <c r="F140" s="13">
        <v>1E-3</v>
      </c>
      <c r="G140" s="12"/>
    </row>
    <row r="141" spans="1:7" ht="25.5" x14ac:dyDescent="0.25">
      <c r="A141" s="7" t="s">
        <v>890</v>
      </c>
      <c r="B141" s="7" t="s">
        <v>1027</v>
      </c>
      <c r="C141" s="7"/>
      <c r="D141" s="12" t="s">
        <v>974</v>
      </c>
      <c r="E141" s="8" t="s">
        <v>82</v>
      </c>
      <c r="F141" s="13">
        <v>1E-3</v>
      </c>
      <c r="G141" s="12" t="s">
        <v>1039</v>
      </c>
    </row>
    <row r="142" spans="1:7" x14ac:dyDescent="0.25">
      <c r="A142" s="7" t="s">
        <v>1040</v>
      </c>
      <c r="B142" s="7" t="s">
        <v>1041</v>
      </c>
      <c r="C142" s="7"/>
      <c r="D142" s="12" t="s">
        <v>1042</v>
      </c>
      <c r="E142" s="8" t="s">
        <v>82</v>
      </c>
      <c r="F142" s="13">
        <v>1.0999999999999999E-2</v>
      </c>
      <c r="G142" s="12"/>
    </row>
    <row r="143" spans="1:7" x14ac:dyDescent="0.25">
      <c r="A143" s="7" t="s">
        <v>1040</v>
      </c>
      <c r="B143" s="7" t="s">
        <v>1041</v>
      </c>
      <c r="C143" s="7"/>
      <c r="D143" s="12" t="s">
        <v>1043</v>
      </c>
      <c r="E143" s="8" t="s">
        <v>82</v>
      </c>
      <c r="F143" s="13">
        <v>1.0999999999999999E-2</v>
      </c>
      <c r="G143" s="12"/>
    </row>
    <row r="144" spans="1:7" x14ac:dyDescent="0.25">
      <c r="A144" s="7" t="s">
        <v>1040</v>
      </c>
      <c r="B144" s="7" t="s">
        <v>1041</v>
      </c>
      <c r="C144" s="7"/>
      <c r="D144" s="12" t="s">
        <v>1044</v>
      </c>
      <c r="E144" s="8" t="s">
        <v>82</v>
      </c>
      <c r="F144" s="13">
        <v>5.0000000000000001E-3</v>
      </c>
      <c r="G144" s="12"/>
    </row>
    <row r="145" spans="1:7" x14ac:dyDescent="0.25">
      <c r="A145" s="7" t="s">
        <v>1040</v>
      </c>
      <c r="B145" s="7" t="s">
        <v>1041</v>
      </c>
      <c r="C145" s="7"/>
      <c r="D145" s="12" t="s">
        <v>1045</v>
      </c>
      <c r="E145" s="8" t="s">
        <v>82</v>
      </c>
      <c r="F145" s="13">
        <v>7.0000000000000001E-3</v>
      </c>
      <c r="G145" s="12"/>
    </row>
    <row r="146" spans="1:7" x14ac:dyDescent="0.25">
      <c r="A146" s="7" t="s">
        <v>1040</v>
      </c>
      <c r="B146" s="7" t="s">
        <v>1041</v>
      </c>
      <c r="C146" s="7"/>
      <c r="D146" s="12" t="s">
        <v>1046</v>
      </c>
      <c r="E146" s="8" t="s">
        <v>82</v>
      </c>
      <c r="F146" s="13">
        <v>1.0999999999999999E-2</v>
      </c>
      <c r="G146" s="12"/>
    </row>
    <row r="147" spans="1:7" x14ac:dyDescent="0.25">
      <c r="A147" s="7" t="s">
        <v>1040</v>
      </c>
      <c r="B147" s="7" t="s">
        <v>1041</v>
      </c>
      <c r="C147" s="7"/>
      <c r="D147" s="12" t="s">
        <v>1047</v>
      </c>
      <c r="E147" s="8" t="s">
        <v>82</v>
      </c>
      <c r="F147" s="13">
        <v>1E-3</v>
      </c>
      <c r="G147" s="12"/>
    </row>
    <row r="148" spans="1:7" x14ac:dyDescent="0.25">
      <c r="A148" s="7" t="s">
        <v>1040</v>
      </c>
      <c r="B148" s="7" t="s">
        <v>1041</v>
      </c>
      <c r="C148" s="7"/>
      <c r="D148" s="12" t="s">
        <v>1048</v>
      </c>
      <c r="E148" s="8" t="s">
        <v>82</v>
      </c>
      <c r="F148" s="13">
        <v>1E-3</v>
      </c>
      <c r="G148" s="12"/>
    </row>
    <row r="149" spans="1:7" x14ac:dyDescent="0.25">
      <c r="A149" s="7" t="s">
        <v>1040</v>
      </c>
      <c r="B149" s="7" t="s">
        <v>1041</v>
      </c>
      <c r="C149" s="7"/>
      <c r="D149" s="12" t="s">
        <v>1049</v>
      </c>
      <c r="E149" s="8" t="s">
        <v>82</v>
      </c>
      <c r="F149" s="13">
        <v>1E-3</v>
      </c>
      <c r="G149" s="12"/>
    </row>
    <row r="150" spans="1:7" x14ac:dyDescent="0.25">
      <c r="A150" s="7" t="s">
        <v>1040</v>
      </c>
      <c r="B150" s="7" t="s">
        <v>1041</v>
      </c>
      <c r="C150" s="7"/>
      <c r="D150" s="12" t="s">
        <v>1050</v>
      </c>
      <c r="E150" s="8" t="s">
        <v>82</v>
      </c>
      <c r="F150" s="13">
        <v>1E-3</v>
      </c>
      <c r="G150" s="12"/>
    </row>
    <row r="151" spans="1:7" x14ac:dyDescent="0.25">
      <c r="A151" s="7" t="s">
        <v>1040</v>
      </c>
      <c r="B151" s="7" t="s">
        <v>1041</v>
      </c>
      <c r="C151" s="7"/>
      <c r="D151" s="12" t="s">
        <v>1051</v>
      </c>
      <c r="E151" s="8" t="s">
        <v>82</v>
      </c>
      <c r="F151" s="13">
        <v>1E-3</v>
      </c>
      <c r="G151" s="12"/>
    </row>
    <row r="152" spans="1:7" x14ac:dyDescent="0.25">
      <c r="A152" s="7" t="s">
        <v>1040</v>
      </c>
      <c r="B152" s="7" t="s">
        <v>1041</v>
      </c>
      <c r="C152" s="7"/>
      <c r="D152" s="12" t="s">
        <v>1052</v>
      </c>
      <c r="E152" s="8" t="s">
        <v>82</v>
      </c>
      <c r="F152" s="13">
        <v>1E-3</v>
      </c>
      <c r="G152" s="12"/>
    </row>
    <row r="153" spans="1:7" x14ac:dyDescent="0.25">
      <c r="A153" s="7" t="s">
        <v>1040</v>
      </c>
      <c r="B153" s="7" t="s">
        <v>1041</v>
      </c>
      <c r="C153" s="7"/>
      <c r="D153" s="12" t="s">
        <v>1053</v>
      </c>
      <c r="E153" s="8" t="s">
        <v>82</v>
      </c>
      <c r="F153" s="13">
        <v>6.0000000000000001E-3</v>
      </c>
      <c r="G153" s="12"/>
    </row>
    <row r="154" spans="1:7" x14ac:dyDescent="0.25">
      <c r="A154" s="7" t="s">
        <v>1040</v>
      </c>
      <c r="B154" s="7" t="s">
        <v>1054</v>
      </c>
      <c r="C154" s="7"/>
      <c r="D154" s="12" t="s">
        <v>1055</v>
      </c>
      <c r="E154" s="8" t="s">
        <v>82</v>
      </c>
      <c r="F154" s="13">
        <v>1E-3</v>
      </c>
      <c r="G154" s="12"/>
    </row>
    <row r="155" spans="1:7" x14ac:dyDescent="0.25">
      <c r="A155" s="7" t="s">
        <v>1040</v>
      </c>
      <c r="B155" s="7" t="s">
        <v>1054</v>
      </c>
      <c r="C155" s="7"/>
      <c r="D155" s="12" t="s">
        <v>1056</v>
      </c>
      <c r="E155" s="8" t="s">
        <v>82</v>
      </c>
      <c r="F155" s="13">
        <v>1E-3</v>
      </c>
      <c r="G155" s="12"/>
    </row>
    <row r="156" spans="1:7" x14ac:dyDescent="0.25">
      <c r="A156" s="7" t="s">
        <v>1040</v>
      </c>
      <c r="B156" s="7" t="s">
        <v>1054</v>
      </c>
      <c r="C156" s="7"/>
      <c r="D156" s="12" t="s">
        <v>1057</v>
      </c>
      <c r="E156" s="8" t="s">
        <v>82</v>
      </c>
      <c r="F156" s="13">
        <v>1E-3</v>
      </c>
      <c r="G156" s="12"/>
    </row>
    <row r="157" spans="1:7" x14ac:dyDescent="0.25">
      <c r="A157" s="7" t="s">
        <v>1040</v>
      </c>
      <c r="B157" s="7" t="s">
        <v>1054</v>
      </c>
      <c r="C157" s="7"/>
      <c r="D157" s="12" t="s">
        <v>1058</v>
      </c>
      <c r="E157" s="8" t="s">
        <v>82</v>
      </c>
      <c r="F157" s="13">
        <v>1E-3</v>
      </c>
      <c r="G157" s="12"/>
    </row>
    <row r="158" spans="1:7" x14ac:dyDescent="0.25">
      <c r="A158" s="7" t="s">
        <v>1040</v>
      </c>
      <c r="B158" s="7" t="s">
        <v>1059</v>
      </c>
      <c r="C158" s="7"/>
      <c r="D158" s="12" t="s">
        <v>1060</v>
      </c>
      <c r="E158" s="8" t="s">
        <v>82</v>
      </c>
      <c r="F158" s="13">
        <v>1E-3</v>
      </c>
      <c r="G158" s="12"/>
    </row>
    <row r="159" spans="1:7" x14ac:dyDescent="0.25">
      <c r="A159" s="7" t="s">
        <v>1040</v>
      </c>
      <c r="B159" s="7" t="s">
        <v>1059</v>
      </c>
      <c r="C159" s="7"/>
      <c r="D159" s="12" t="s">
        <v>1061</v>
      </c>
      <c r="E159" s="8" t="s">
        <v>82</v>
      </c>
      <c r="F159" s="13">
        <v>2E-3</v>
      </c>
      <c r="G159" s="12"/>
    </row>
    <row r="160" spans="1:7" x14ac:dyDescent="0.25">
      <c r="A160" s="7" t="s">
        <v>1040</v>
      </c>
      <c r="B160" s="7" t="s">
        <v>1059</v>
      </c>
      <c r="C160" s="7"/>
      <c r="D160" s="12" t="s">
        <v>1062</v>
      </c>
      <c r="E160" s="8" t="s">
        <v>82</v>
      </c>
      <c r="F160" s="13">
        <v>1E-3</v>
      </c>
      <c r="G160" s="12"/>
    </row>
    <row r="161" spans="1:7" x14ac:dyDescent="0.25">
      <c r="A161" s="7" t="s">
        <v>1040</v>
      </c>
      <c r="B161" s="7" t="s">
        <v>1059</v>
      </c>
      <c r="C161" s="7"/>
      <c r="D161" s="12" t="s">
        <v>1063</v>
      </c>
      <c r="E161" s="8" t="s">
        <v>82</v>
      </c>
      <c r="F161" s="13">
        <v>1E-3</v>
      </c>
      <c r="G161" s="12"/>
    </row>
    <row r="162" spans="1:7" x14ac:dyDescent="0.25">
      <c r="A162" s="7" t="s">
        <v>1040</v>
      </c>
      <c r="B162" s="7" t="s">
        <v>1059</v>
      </c>
      <c r="C162" s="7"/>
      <c r="D162" s="12" t="s">
        <v>1064</v>
      </c>
      <c r="E162" s="8" t="s">
        <v>82</v>
      </c>
      <c r="F162" s="13">
        <v>1E-3</v>
      </c>
      <c r="G162" s="12"/>
    </row>
    <row r="163" spans="1:7" x14ac:dyDescent="0.25">
      <c r="A163" s="7" t="s">
        <v>1040</v>
      </c>
      <c r="B163" s="7" t="s">
        <v>1059</v>
      </c>
      <c r="C163" s="7"/>
      <c r="D163" s="12" t="s">
        <v>1065</v>
      </c>
      <c r="E163" s="8" t="s">
        <v>82</v>
      </c>
      <c r="F163" s="13">
        <v>1E-3</v>
      </c>
      <c r="G163" s="12"/>
    </row>
    <row r="164" spans="1:7" x14ac:dyDescent="0.25">
      <c r="A164" s="7" t="s">
        <v>1040</v>
      </c>
      <c r="B164" s="7" t="s">
        <v>1059</v>
      </c>
      <c r="C164" s="7"/>
      <c r="D164" s="12" t="s">
        <v>1066</v>
      </c>
      <c r="E164" s="8" t="s">
        <v>82</v>
      </c>
      <c r="F164" s="13">
        <v>1E-3</v>
      </c>
      <c r="G164" s="12"/>
    </row>
    <row r="165" spans="1:7" x14ac:dyDescent="0.25">
      <c r="A165" s="7" t="s">
        <v>1040</v>
      </c>
      <c r="B165" s="7" t="s">
        <v>1059</v>
      </c>
      <c r="C165" s="7"/>
      <c r="D165" s="12" t="s">
        <v>1067</v>
      </c>
      <c r="E165" s="8" t="s">
        <v>82</v>
      </c>
      <c r="F165" s="13">
        <v>1E-3</v>
      </c>
      <c r="G165" s="12"/>
    </row>
    <row r="166" spans="1:7" x14ac:dyDescent="0.25">
      <c r="A166" s="7" t="s">
        <v>1040</v>
      </c>
      <c r="B166" s="7" t="s">
        <v>1059</v>
      </c>
      <c r="C166" s="7"/>
      <c r="D166" s="12" t="s">
        <v>1068</v>
      </c>
      <c r="E166" s="8" t="s">
        <v>82</v>
      </c>
      <c r="F166" s="13">
        <v>1E-3</v>
      </c>
      <c r="G166" s="12"/>
    </row>
    <row r="167" spans="1:7" x14ac:dyDescent="0.25">
      <c r="A167" s="7" t="s">
        <v>1040</v>
      </c>
      <c r="B167" s="7" t="s">
        <v>1059</v>
      </c>
      <c r="C167" s="7"/>
      <c r="D167" s="12" t="s">
        <v>1069</v>
      </c>
      <c r="E167" s="8" t="s">
        <v>82</v>
      </c>
      <c r="F167" s="13">
        <v>1E-3</v>
      </c>
      <c r="G167" s="12"/>
    </row>
    <row r="168" spans="1:7" x14ac:dyDescent="0.25">
      <c r="A168" s="7" t="s">
        <v>1040</v>
      </c>
      <c r="B168" s="7" t="s">
        <v>1059</v>
      </c>
      <c r="C168" s="7"/>
      <c r="D168" s="12" t="s">
        <v>1070</v>
      </c>
      <c r="E168" s="8" t="s">
        <v>82</v>
      </c>
      <c r="F168" s="13">
        <v>1E-3</v>
      </c>
      <c r="G168" s="12"/>
    </row>
    <row r="169" spans="1:7" x14ac:dyDescent="0.25">
      <c r="A169" s="7" t="s">
        <v>1040</v>
      </c>
      <c r="B169" s="7" t="s">
        <v>1059</v>
      </c>
      <c r="C169" s="7"/>
      <c r="D169" s="12" t="s">
        <v>1071</v>
      </c>
      <c r="E169" s="8" t="s">
        <v>82</v>
      </c>
      <c r="F169" s="13">
        <v>1E-3</v>
      </c>
      <c r="G169" s="12"/>
    </row>
    <row r="170" spans="1:7" x14ac:dyDescent="0.25">
      <c r="A170" s="7" t="s">
        <v>1040</v>
      </c>
      <c r="B170" s="7" t="s">
        <v>1059</v>
      </c>
      <c r="C170" s="7"/>
      <c r="D170" s="12" t="s">
        <v>1072</v>
      </c>
      <c r="E170" s="8" t="s">
        <v>82</v>
      </c>
      <c r="F170" s="13">
        <v>1E-3</v>
      </c>
      <c r="G170" s="12"/>
    </row>
    <row r="171" spans="1:7" x14ac:dyDescent="0.25">
      <c r="A171" s="7" t="s">
        <v>1040</v>
      </c>
      <c r="B171" s="7" t="s">
        <v>1073</v>
      </c>
      <c r="C171" s="7"/>
      <c r="D171" s="12" t="s">
        <v>1074</v>
      </c>
      <c r="E171" s="8" t="s">
        <v>82</v>
      </c>
      <c r="F171" s="13">
        <v>1E-3</v>
      </c>
      <c r="G171" s="12"/>
    </row>
    <row r="172" spans="1:7" x14ac:dyDescent="0.25">
      <c r="A172" s="7" t="s">
        <v>1040</v>
      </c>
      <c r="B172" s="7" t="s">
        <v>1073</v>
      </c>
      <c r="C172" s="7"/>
      <c r="D172" s="12" t="s">
        <v>1075</v>
      </c>
      <c r="E172" s="8" t="s">
        <v>82</v>
      </c>
      <c r="F172" s="13">
        <v>1E-3</v>
      </c>
      <c r="G172" s="12"/>
    </row>
    <row r="173" spans="1:7" x14ac:dyDescent="0.25">
      <c r="A173" s="7" t="s">
        <v>1040</v>
      </c>
      <c r="B173" s="7" t="s">
        <v>1073</v>
      </c>
      <c r="C173" s="7"/>
      <c r="D173" s="12" t="s">
        <v>1076</v>
      </c>
      <c r="E173" s="8" t="s">
        <v>82</v>
      </c>
      <c r="F173" s="13">
        <v>1E-3</v>
      </c>
      <c r="G173" s="12"/>
    </row>
    <row r="174" spans="1:7" x14ac:dyDescent="0.25">
      <c r="A174" s="7" t="s">
        <v>1040</v>
      </c>
      <c r="B174" s="7" t="s">
        <v>1073</v>
      </c>
      <c r="C174" s="7"/>
      <c r="D174" s="12" t="s">
        <v>1077</v>
      </c>
      <c r="E174" s="8" t="s">
        <v>82</v>
      </c>
      <c r="F174" s="13">
        <v>1E-3</v>
      </c>
      <c r="G174" s="12"/>
    </row>
    <row r="175" spans="1:7" x14ac:dyDescent="0.25">
      <c r="A175" s="7" t="s">
        <v>1040</v>
      </c>
      <c r="B175" s="7" t="s">
        <v>1073</v>
      </c>
      <c r="C175" s="7"/>
      <c r="D175" s="12" t="s">
        <v>1078</v>
      </c>
      <c r="E175" s="8" t="s">
        <v>82</v>
      </c>
      <c r="F175" s="13">
        <v>1E-3</v>
      </c>
      <c r="G175" s="12"/>
    </row>
    <row r="176" spans="1:7" x14ac:dyDescent="0.25">
      <c r="A176" s="7" t="s">
        <v>1040</v>
      </c>
      <c r="B176" s="7" t="s">
        <v>1073</v>
      </c>
      <c r="C176" s="7"/>
      <c r="D176" s="12" t="s">
        <v>1079</v>
      </c>
      <c r="E176" s="8" t="s">
        <v>82</v>
      </c>
      <c r="F176" s="13">
        <v>1E-3</v>
      </c>
      <c r="G176" s="12"/>
    </row>
    <row r="177" spans="1:7" x14ac:dyDescent="0.25">
      <c r="A177" s="7" t="s">
        <v>1040</v>
      </c>
      <c r="B177" s="7" t="s">
        <v>1073</v>
      </c>
      <c r="C177" s="7"/>
      <c r="D177" s="12" t="s">
        <v>1080</v>
      </c>
      <c r="E177" s="8" t="s">
        <v>82</v>
      </c>
      <c r="F177" s="13">
        <v>1E-3</v>
      </c>
      <c r="G177" s="12"/>
    </row>
    <row r="178" spans="1:7" x14ac:dyDescent="0.25">
      <c r="A178" s="7" t="s">
        <v>1040</v>
      </c>
      <c r="B178" s="7" t="s">
        <v>1081</v>
      </c>
      <c r="C178" s="7"/>
      <c r="D178" s="12" t="s">
        <v>1060</v>
      </c>
      <c r="E178" s="8" t="s">
        <v>82</v>
      </c>
      <c r="F178" s="13">
        <v>1E-3</v>
      </c>
      <c r="G178" s="12"/>
    </row>
    <row r="179" spans="1:7" x14ac:dyDescent="0.25">
      <c r="A179" s="7" t="s">
        <v>1040</v>
      </c>
      <c r="B179" s="7" t="s">
        <v>1081</v>
      </c>
      <c r="C179" s="7"/>
      <c r="D179" s="12" t="s">
        <v>1082</v>
      </c>
      <c r="E179" s="8" t="s">
        <v>82</v>
      </c>
      <c r="F179" s="13">
        <v>1E-3</v>
      </c>
      <c r="G179" s="12"/>
    </row>
    <row r="180" spans="1:7" x14ac:dyDescent="0.25">
      <c r="A180" s="7" t="s">
        <v>1040</v>
      </c>
      <c r="B180" s="7" t="s">
        <v>1081</v>
      </c>
      <c r="C180" s="7"/>
      <c r="D180" s="12" t="s">
        <v>1083</v>
      </c>
      <c r="E180" s="8" t="s">
        <v>82</v>
      </c>
      <c r="F180" s="13">
        <v>1E-3</v>
      </c>
      <c r="G180" s="12"/>
    </row>
    <row r="181" spans="1:7" x14ac:dyDescent="0.25">
      <c r="A181" s="7" t="s">
        <v>1040</v>
      </c>
      <c r="B181" s="7" t="s">
        <v>1081</v>
      </c>
      <c r="C181" s="7"/>
      <c r="D181" s="12" t="s">
        <v>1084</v>
      </c>
      <c r="E181" s="8" t="s">
        <v>82</v>
      </c>
      <c r="F181" s="13">
        <v>1E-3</v>
      </c>
      <c r="G181" s="12"/>
    </row>
    <row r="182" spans="1:7" x14ac:dyDescent="0.25">
      <c r="A182" s="7" t="s">
        <v>1040</v>
      </c>
      <c r="B182" s="7" t="s">
        <v>1081</v>
      </c>
      <c r="C182" s="7"/>
      <c r="D182" s="12" t="s">
        <v>1085</v>
      </c>
      <c r="E182" s="8" t="s">
        <v>82</v>
      </c>
      <c r="F182" s="13">
        <v>1E-3</v>
      </c>
      <c r="G182" s="12"/>
    </row>
    <row r="183" spans="1:7" x14ac:dyDescent="0.25">
      <c r="A183" s="7" t="s">
        <v>1040</v>
      </c>
      <c r="B183" s="7" t="s">
        <v>1081</v>
      </c>
      <c r="C183" s="7"/>
      <c r="D183" s="12" t="s">
        <v>1086</v>
      </c>
      <c r="E183" s="8" t="s">
        <v>82</v>
      </c>
      <c r="F183" s="13">
        <v>1E-3</v>
      </c>
      <c r="G183" s="12"/>
    </row>
    <row r="184" spans="1:7" x14ac:dyDescent="0.25">
      <c r="A184" s="7" t="s">
        <v>1040</v>
      </c>
      <c r="B184" s="7" t="s">
        <v>1081</v>
      </c>
      <c r="C184" s="7"/>
      <c r="D184" s="12" t="s">
        <v>1087</v>
      </c>
      <c r="E184" s="8" t="s">
        <v>82</v>
      </c>
      <c r="F184" s="13">
        <v>1E-3</v>
      </c>
      <c r="G184" s="12"/>
    </row>
    <row r="185" spans="1:7" x14ac:dyDescent="0.25">
      <c r="A185" s="7" t="s">
        <v>1040</v>
      </c>
      <c r="B185" s="7" t="s">
        <v>1081</v>
      </c>
      <c r="C185" s="7"/>
      <c r="D185" s="12" t="s">
        <v>1088</v>
      </c>
      <c r="E185" s="8" t="s">
        <v>82</v>
      </c>
      <c r="F185" s="13">
        <v>1E-3</v>
      </c>
      <c r="G185" s="12"/>
    </row>
    <row r="186" spans="1:7" x14ac:dyDescent="0.25">
      <c r="A186" s="7" t="s">
        <v>1040</v>
      </c>
      <c r="B186" s="7" t="s">
        <v>1081</v>
      </c>
      <c r="C186" s="7"/>
      <c r="D186" s="12" t="s">
        <v>1089</v>
      </c>
      <c r="E186" s="8" t="s">
        <v>82</v>
      </c>
      <c r="F186" s="13">
        <v>1E-3</v>
      </c>
      <c r="G186" s="12"/>
    </row>
    <row r="187" spans="1:7" x14ac:dyDescent="0.25">
      <c r="A187" s="7" t="s">
        <v>1040</v>
      </c>
      <c r="B187" s="7" t="s">
        <v>1081</v>
      </c>
      <c r="C187" s="7"/>
      <c r="D187" s="12" t="s">
        <v>1090</v>
      </c>
      <c r="E187" s="8" t="s">
        <v>82</v>
      </c>
      <c r="F187" s="13">
        <v>1E-3</v>
      </c>
      <c r="G187" s="12"/>
    </row>
    <row r="188" spans="1:7" x14ac:dyDescent="0.25">
      <c r="A188" s="7" t="s">
        <v>1040</v>
      </c>
      <c r="B188" s="7" t="s">
        <v>1081</v>
      </c>
      <c r="C188" s="7"/>
      <c r="D188" s="12" t="s">
        <v>1091</v>
      </c>
      <c r="E188" s="8" t="s">
        <v>82</v>
      </c>
      <c r="F188" s="13">
        <v>1E-3</v>
      </c>
      <c r="G188" s="12"/>
    </row>
    <row r="189" spans="1:7" x14ac:dyDescent="0.25">
      <c r="A189" s="7" t="s">
        <v>1040</v>
      </c>
      <c r="B189" s="7" t="s">
        <v>1081</v>
      </c>
      <c r="C189" s="7"/>
      <c r="D189" s="12" t="s">
        <v>1092</v>
      </c>
      <c r="E189" s="8" t="s">
        <v>82</v>
      </c>
      <c r="F189" s="13">
        <v>1E-3</v>
      </c>
      <c r="G189" s="12"/>
    </row>
    <row r="190" spans="1:7" x14ac:dyDescent="0.25">
      <c r="A190" s="7" t="s">
        <v>1040</v>
      </c>
      <c r="B190" s="7" t="s">
        <v>1081</v>
      </c>
      <c r="C190" s="7"/>
      <c r="D190" s="12" t="s">
        <v>1093</v>
      </c>
      <c r="E190" s="8" t="s">
        <v>82</v>
      </c>
      <c r="F190" s="13">
        <v>1E-3</v>
      </c>
      <c r="G190" s="12"/>
    </row>
    <row r="191" spans="1:7" x14ac:dyDescent="0.25">
      <c r="A191" s="7" t="s">
        <v>1040</v>
      </c>
      <c r="B191" s="7" t="s">
        <v>1081</v>
      </c>
      <c r="C191" s="7"/>
      <c r="D191" s="12" t="s">
        <v>1094</v>
      </c>
      <c r="E191" s="8" t="s">
        <v>82</v>
      </c>
      <c r="F191" s="13">
        <v>1E-3</v>
      </c>
      <c r="G191" s="12"/>
    </row>
    <row r="192" spans="1:7" x14ac:dyDescent="0.25">
      <c r="A192" s="7" t="s">
        <v>1040</v>
      </c>
      <c r="B192" s="7" t="s">
        <v>1081</v>
      </c>
      <c r="C192" s="7"/>
      <c r="D192" s="12" t="s">
        <v>1095</v>
      </c>
      <c r="E192" s="8" t="s">
        <v>82</v>
      </c>
      <c r="F192" s="13">
        <v>1E-3</v>
      </c>
      <c r="G192" s="12"/>
    </row>
    <row r="193" spans="1:7" x14ac:dyDescent="0.25">
      <c r="A193" s="7" t="s">
        <v>1040</v>
      </c>
      <c r="B193" s="7" t="s">
        <v>1081</v>
      </c>
      <c r="C193" s="7"/>
      <c r="D193" s="12" t="s">
        <v>1096</v>
      </c>
      <c r="E193" s="8" t="s">
        <v>82</v>
      </c>
      <c r="F193" s="13">
        <v>1E-3</v>
      </c>
      <c r="G193" s="12"/>
    </row>
    <row r="194" spans="1:7" x14ac:dyDescent="0.25">
      <c r="A194" s="7" t="s">
        <v>1040</v>
      </c>
      <c r="B194" s="7" t="s">
        <v>1081</v>
      </c>
      <c r="C194" s="7"/>
      <c r="D194" s="12" t="s">
        <v>1097</v>
      </c>
      <c r="E194" s="8" t="s">
        <v>82</v>
      </c>
      <c r="F194" s="13">
        <v>1E-3</v>
      </c>
      <c r="G194" s="12"/>
    </row>
    <row r="195" spans="1:7" x14ac:dyDescent="0.25">
      <c r="A195" s="7" t="s">
        <v>1040</v>
      </c>
      <c r="B195" s="7" t="s">
        <v>1081</v>
      </c>
      <c r="C195" s="7"/>
      <c r="D195" s="12" t="s">
        <v>1098</v>
      </c>
      <c r="E195" s="8" t="s">
        <v>82</v>
      </c>
      <c r="F195" s="13">
        <v>1E-3</v>
      </c>
      <c r="G195" s="12"/>
    </row>
    <row r="196" spans="1:7" x14ac:dyDescent="0.25">
      <c r="A196" s="7" t="s">
        <v>1040</v>
      </c>
      <c r="B196" s="7" t="s">
        <v>1081</v>
      </c>
      <c r="C196" s="7"/>
      <c r="D196" s="12" t="s">
        <v>1099</v>
      </c>
      <c r="E196" s="8" t="s">
        <v>82</v>
      </c>
      <c r="F196" s="13">
        <v>1E-3</v>
      </c>
      <c r="G196" s="12"/>
    </row>
    <row r="197" spans="1:7" x14ac:dyDescent="0.25">
      <c r="A197" s="7" t="s">
        <v>1040</v>
      </c>
      <c r="B197" s="7" t="s">
        <v>1081</v>
      </c>
      <c r="C197" s="7"/>
      <c r="D197" s="12" t="s">
        <v>1100</v>
      </c>
      <c r="E197" s="8" t="s">
        <v>82</v>
      </c>
      <c r="F197" s="13">
        <v>1E-3</v>
      </c>
      <c r="G197" s="12"/>
    </row>
    <row r="198" spans="1:7" x14ac:dyDescent="0.25">
      <c r="A198" s="7" t="s">
        <v>1040</v>
      </c>
      <c r="B198" s="7" t="s">
        <v>1081</v>
      </c>
      <c r="C198" s="7"/>
      <c r="D198" s="12" t="s">
        <v>1101</v>
      </c>
      <c r="E198" s="8" t="s">
        <v>82</v>
      </c>
      <c r="F198" s="13">
        <v>1E-3</v>
      </c>
      <c r="G198" s="12"/>
    </row>
    <row r="199" spans="1:7" x14ac:dyDescent="0.25">
      <c r="A199" s="7" t="s">
        <v>1040</v>
      </c>
      <c r="B199" s="7" t="s">
        <v>1081</v>
      </c>
      <c r="C199" s="7"/>
      <c r="D199" s="12" t="s">
        <v>1102</v>
      </c>
      <c r="E199" s="8" t="s">
        <v>82</v>
      </c>
      <c r="F199" s="13">
        <v>1E-3</v>
      </c>
      <c r="G199" s="12"/>
    </row>
    <row r="200" spans="1:7" x14ac:dyDescent="0.25">
      <c r="A200" s="7" t="s">
        <v>1040</v>
      </c>
      <c r="B200" s="7" t="s">
        <v>1081</v>
      </c>
      <c r="C200" s="7"/>
      <c r="D200" s="12" t="s">
        <v>1103</v>
      </c>
      <c r="E200" s="8" t="s">
        <v>82</v>
      </c>
      <c r="F200" s="13">
        <v>1E-3</v>
      </c>
      <c r="G200" s="12"/>
    </row>
    <row r="201" spans="1:7" x14ac:dyDescent="0.25">
      <c r="A201" s="7" t="s">
        <v>1040</v>
      </c>
      <c r="B201" s="7" t="s">
        <v>1081</v>
      </c>
      <c r="C201" s="7"/>
      <c r="D201" s="12" t="s">
        <v>1104</v>
      </c>
      <c r="E201" s="8" t="s">
        <v>82</v>
      </c>
      <c r="F201" s="13">
        <v>1E-3</v>
      </c>
      <c r="G201" s="12"/>
    </row>
    <row r="202" spans="1:7" x14ac:dyDescent="0.25">
      <c r="A202" s="7" t="s">
        <v>1040</v>
      </c>
      <c r="B202" s="7" t="s">
        <v>1081</v>
      </c>
      <c r="C202" s="7"/>
      <c r="D202" s="12" t="s">
        <v>1105</v>
      </c>
      <c r="E202" s="8" t="s">
        <v>82</v>
      </c>
      <c r="F202" s="13">
        <v>1E-3</v>
      </c>
      <c r="G202" s="12"/>
    </row>
    <row r="203" spans="1:7" x14ac:dyDescent="0.25">
      <c r="A203" s="7" t="s">
        <v>1040</v>
      </c>
      <c r="B203" s="7" t="s">
        <v>1081</v>
      </c>
      <c r="C203" s="7"/>
      <c r="D203" s="12" t="s">
        <v>1106</v>
      </c>
      <c r="E203" s="8" t="s">
        <v>82</v>
      </c>
      <c r="F203" s="13">
        <v>1E-3</v>
      </c>
      <c r="G203" s="12"/>
    </row>
    <row r="204" spans="1:7" x14ac:dyDescent="0.25">
      <c r="A204" s="7" t="s">
        <v>1040</v>
      </c>
      <c r="B204" s="7" t="s">
        <v>1081</v>
      </c>
      <c r="C204" s="7"/>
      <c r="D204" s="12" t="s">
        <v>1107</v>
      </c>
      <c r="E204" s="8" t="s">
        <v>82</v>
      </c>
      <c r="F204" s="13">
        <v>1E-3</v>
      </c>
      <c r="G204" s="12"/>
    </row>
    <row r="205" spans="1:7" x14ac:dyDescent="0.25">
      <c r="A205" s="7" t="s">
        <v>1040</v>
      </c>
      <c r="B205" s="7" t="s">
        <v>1108</v>
      </c>
      <c r="C205" s="7"/>
      <c r="D205" s="12" t="s">
        <v>1109</v>
      </c>
      <c r="E205" s="8" t="s">
        <v>82</v>
      </c>
      <c r="F205" s="13">
        <v>1E-3</v>
      </c>
      <c r="G205" s="12"/>
    </row>
    <row r="206" spans="1:7" x14ac:dyDescent="0.25">
      <c r="A206" s="7" t="s">
        <v>1040</v>
      </c>
      <c r="B206" s="7" t="s">
        <v>1108</v>
      </c>
      <c r="C206" s="7"/>
      <c r="D206" s="12" t="s">
        <v>1110</v>
      </c>
      <c r="E206" s="8" t="s">
        <v>82</v>
      </c>
      <c r="F206" s="13">
        <v>1E-3</v>
      </c>
      <c r="G206" s="12"/>
    </row>
    <row r="207" spans="1:7" x14ac:dyDescent="0.25">
      <c r="A207" s="7" t="s">
        <v>1040</v>
      </c>
      <c r="B207" s="7" t="s">
        <v>1108</v>
      </c>
      <c r="C207" s="7"/>
      <c r="D207" s="12" t="s">
        <v>1111</v>
      </c>
      <c r="E207" s="8" t="s">
        <v>82</v>
      </c>
      <c r="F207" s="13">
        <v>1E-3</v>
      </c>
      <c r="G207" s="12"/>
    </row>
    <row r="208" spans="1:7" x14ac:dyDescent="0.25">
      <c r="A208" s="7" t="s">
        <v>1112</v>
      </c>
      <c r="B208" s="7" t="s">
        <v>1113</v>
      </c>
      <c r="C208" s="7"/>
      <c r="D208" s="12" t="s">
        <v>1114</v>
      </c>
      <c r="E208" s="8" t="s">
        <v>82</v>
      </c>
      <c r="F208" s="13">
        <v>1E-3</v>
      </c>
      <c r="G208" s="12"/>
    </row>
    <row r="209" spans="1:7" x14ac:dyDescent="0.25">
      <c r="A209" s="7" t="s">
        <v>1112</v>
      </c>
      <c r="B209" s="7" t="s">
        <v>1113</v>
      </c>
      <c r="C209" s="7"/>
      <c r="D209" s="12" t="s">
        <v>1115</v>
      </c>
      <c r="E209" s="8" t="s">
        <v>82</v>
      </c>
      <c r="F209" s="13">
        <v>1E-3</v>
      </c>
      <c r="G209" s="12"/>
    </row>
    <row r="210" spans="1:7" x14ac:dyDescent="0.25">
      <c r="A210" s="7" t="s">
        <v>1112</v>
      </c>
      <c r="B210" s="7" t="s">
        <v>1113</v>
      </c>
      <c r="C210" s="7"/>
      <c r="D210" s="12" t="s">
        <v>1116</v>
      </c>
      <c r="E210" s="8" t="s">
        <v>82</v>
      </c>
      <c r="F210" s="13">
        <v>1E-3</v>
      </c>
      <c r="G210" s="12"/>
    </row>
    <row r="211" spans="1:7" x14ac:dyDescent="0.25">
      <c r="A211" s="7" t="s">
        <v>1112</v>
      </c>
      <c r="B211" s="7" t="s">
        <v>1117</v>
      </c>
      <c r="C211" s="7"/>
      <c r="D211" s="12" t="s">
        <v>1118</v>
      </c>
      <c r="E211" s="8" t="s">
        <v>82</v>
      </c>
      <c r="F211" s="13">
        <v>1E-3</v>
      </c>
      <c r="G211" s="12"/>
    </row>
    <row r="212" spans="1:7" x14ac:dyDescent="0.25">
      <c r="A212" s="7" t="s">
        <v>1112</v>
      </c>
      <c r="B212" s="7" t="s">
        <v>1117</v>
      </c>
      <c r="C212" s="7"/>
      <c r="D212" s="12" t="s">
        <v>1119</v>
      </c>
      <c r="E212" s="8" t="s">
        <v>82</v>
      </c>
      <c r="F212" s="13">
        <v>1E-3</v>
      </c>
      <c r="G212" s="12"/>
    </row>
    <row r="213" spans="1:7" x14ac:dyDescent="0.25">
      <c r="A213" s="7" t="s">
        <v>1112</v>
      </c>
      <c r="B213" s="7" t="s">
        <v>1120</v>
      </c>
      <c r="C213" s="7"/>
      <c r="D213" s="12" t="s">
        <v>1121</v>
      </c>
      <c r="E213" s="8" t="s">
        <v>82</v>
      </c>
      <c r="F213" s="13">
        <v>1E-3</v>
      </c>
      <c r="G213" s="12"/>
    </row>
    <row r="214" spans="1:7" x14ac:dyDescent="0.25">
      <c r="A214" s="7" t="s">
        <v>1112</v>
      </c>
      <c r="B214" s="7" t="s">
        <v>1120</v>
      </c>
      <c r="C214" s="7"/>
      <c r="D214" s="12" t="s">
        <v>1122</v>
      </c>
      <c r="E214" s="8" t="s">
        <v>82</v>
      </c>
      <c r="F214" s="13">
        <v>1E-3</v>
      </c>
      <c r="G214" s="12"/>
    </row>
    <row r="215" spans="1:7" x14ac:dyDescent="0.25">
      <c r="A215" s="7" t="s">
        <v>1112</v>
      </c>
      <c r="B215" s="7" t="s">
        <v>1120</v>
      </c>
      <c r="C215" s="7"/>
      <c r="D215" s="12" t="s">
        <v>1123</v>
      </c>
      <c r="E215" s="8" t="s">
        <v>82</v>
      </c>
      <c r="F215" s="13">
        <v>1E-3</v>
      </c>
      <c r="G215" s="12"/>
    </row>
    <row r="216" spans="1:7" x14ac:dyDescent="0.25">
      <c r="A216" s="7" t="s">
        <v>1112</v>
      </c>
      <c r="B216" s="7" t="s">
        <v>1124</v>
      </c>
      <c r="C216" s="7"/>
      <c r="D216" s="12" t="s">
        <v>1125</v>
      </c>
      <c r="E216" s="8" t="s">
        <v>82</v>
      </c>
      <c r="F216" s="13">
        <v>1E-3</v>
      </c>
      <c r="G216" s="12"/>
    </row>
    <row r="217" spans="1:7" x14ac:dyDescent="0.25">
      <c r="A217" s="7" t="s">
        <v>1112</v>
      </c>
      <c r="B217" s="7" t="s">
        <v>1124</v>
      </c>
      <c r="C217" s="7"/>
      <c r="D217" s="12" t="s">
        <v>1126</v>
      </c>
      <c r="E217" s="8" t="s">
        <v>82</v>
      </c>
      <c r="F217" s="13">
        <v>1E-3</v>
      </c>
      <c r="G217" s="12"/>
    </row>
    <row r="218" spans="1:7" x14ac:dyDescent="0.25">
      <c r="A218" s="7" t="s">
        <v>1112</v>
      </c>
      <c r="B218" s="7" t="s">
        <v>1124</v>
      </c>
      <c r="C218" s="7"/>
      <c r="D218" s="12" t="s">
        <v>1127</v>
      </c>
      <c r="E218" s="8" t="s">
        <v>82</v>
      </c>
      <c r="F218" s="13">
        <v>1E-3</v>
      </c>
      <c r="G218" s="12"/>
    </row>
    <row r="219" spans="1:7" x14ac:dyDescent="0.25">
      <c r="A219" s="7" t="s">
        <v>1112</v>
      </c>
      <c r="B219" s="7" t="s">
        <v>1128</v>
      </c>
      <c r="C219" s="7"/>
      <c r="D219" s="12" t="s">
        <v>1129</v>
      </c>
      <c r="E219" s="8" t="s">
        <v>82</v>
      </c>
      <c r="F219" s="13">
        <v>1E-3</v>
      </c>
      <c r="G219" s="12"/>
    </row>
    <row r="220" spans="1:7" x14ac:dyDescent="0.25">
      <c r="A220" s="7" t="s">
        <v>1112</v>
      </c>
      <c r="B220" s="7" t="s">
        <v>1128</v>
      </c>
      <c r="C220" s="7"/>
      <c r="D220" s="12" t="s">
        <v>1130</v>
      </c>
      <c r="E220" s="8" t="s">
        <v>82</v>
      </c>
      <c r="F220" s="13">
        <v>1E-3</v>
      </c>
      <c r="G220" s="12"/>
    </row>
    <row r="221" spans="1:7" x14ac:dyDescent="0.25">
      <c r="A221" s="7" t="s">
        <v>1112</v>
      </c>
      <c r="B221" s="7" t="s">
        <v>1128</v>
      </c>
      <c r="C221" s="7"/>
      <c r="D221" s="12" t="s">
        <v>1131</v>
      </c>
      <c r="E221" s="8" t="s">
        <v>82</v>
      </c>
      <c r="F221" s="13">
        <v>1E-3</v>
      </c>
      <c r="G221" s="12"/>
    </row>
    <row r="222" spans="1:7" x14ac:dyDescent="0.25">
      <c r="A222" s="7" t="s">
        <v>1112</v>
      </c>
      <c r="B222" s="7" t="s">
        <v>1128</v>
      </c>
      <c r="C222" s="7"/>
      <c r="D222" s="12" t="s">
        <v>1132</v>
      </c>
      <c r="E222" s="8" t="s">
        <v>82</v>
      </c>
      <c r="F222" s="13">
        <v>1E-3</v>
      </c>
      <c r="G222" s="12"/>
    </row>
    <row r="223" spans="1:7" x14ac:dyDescent="0.25">
      <c r="A223" s="7" t="s">
        <v>1112</v>
      </c>
      <c r="B223" s="7" t="s">
        <v>1128</v>
      </c>
      <c r="C223" s="7"/>
      <c r="D223" s="12" t="s">
        <v>1133</v>
      </c>
      <c r="E223" s="8" t="s">
        <v>82</v>
      </c>
      <c r="F223" s="13">
        <v>1E-3</v>
      </c>
      <c r="G223" s="12"/>
    </row>
    <row r="224" spans="1:7" x14ac:dyDescent="0.25">
      <c r="A224" s="7" t="s">
        <v>1112</v>
      </c>
      <c r="B224" s="7" t="s">
        <v>1128</v>
      </c>
      <c r="C224" s="7"/>
      <c r="D224" s="12" t="s">
        <v>1134</v>
      </c>
      <c r="E224" s="8" t="s">
        <v>82</v>
      </c>
      <c r="F224" s="13">
        <v>1E-3</v>
      </c>
      <c r="G224" s="12"/>
    </row>
    <row r="225" spans="1:7" x14ac:dyDescent="0.25">
      <c r="A225" s="7" t="s">
        <v>1112</v>
      </c>
      <c r="B225" s="7" t="s">
        <v>1128</v>
      </c>
      <c r="C225" s="7"/>
      <c r="D225" s="12" t="s">
        <v>1135</v>
      </c>
      <c r="E225" s="8" t="s">
        <v>82</v>
      </c>
      <c r="F225" s="13">
        <v>1E-3</v>
      </c>
      <c r="G225" s="12"/>
    </row>
    <row r="226" spans="1:7" x14ac:dyDescent="0.25">
      <c r="A226" s="7" t="s">
        <v>1112</v>
      </c>
      <c r="B226" s="7" t="s">
        <v>1136</v>
      </c>
      <c r="C226" s="7"/>
      <c r="D226" s="12" t="s">
        <v>1137</v>
      </c>
      <c r="E226" s="8" t="s">
        <v>82</v>
      </c>
      <c r="F226" s="13">
        <v>1E-3</v>
      </c>
      <c r="G226" s="12"/>
    </row>
    <row r="227" spans="1:7" x14ac:dyDescent="0.25">
      <c r="A227" s="7" t="s">
        <v>1112</v>
      </c>
      <c r="B227" s="7" t="s">
        <v>1136</v>
      </c>
      <c r="C227" s="7"/>
      <c r="D227" s="12" t="s">
        <v>1138</v>
      </c>
      <c r="E227" s="8" t="s">
        <v>82</v>
      </c>
      <c r="F227" s="13">
        <v>1E-3</v>
      </c>
      <c r="G227" s="12"/>
    </row>
    <row r="228" spans="1:7" x14ac:dyDescent="0.25">
      <c r="A228" s="7" t="s">
        <v>1112</v>
      </c>
      <c r="B228" s="7" t="s">
        <v>1136</v>
      </c>
      <c r="C228" s="7"/>
      <c r="D228" s="12" t="s">
        <v>1139</v>
      </c>
      <c r="E228" s="8" t="s">
        <v>82</v>
      </c>
      <c r="F228" s="13">
        <v>1E-3</v>
      </c>
      <c r="G228" s="12"/>
    </row>
    <row r="229" spans="1:7" x14ac:dyDescent="0.25">
      <c r="A229" s="7" t="s">
        <v>1112</v>
      </c>
      <c r="B229" s="7" t="s">
        <v>1136</v>
      </c>
      <c r="C229" s="7"/>
      <c r="D229" s="12" t="s">
        <v>1140</v>
      </c>
      <c r="E229" s="8" t="s">
        <v>82</v>
      </c>
      <c r="F229" s="13">
        <v>1E-3</v>
      </c>
      <c r="G229" s="12"/>
    </row>
    <row r="230" spans="1:7" x14ac:dyDescent="0.25">
      <c r="A230" s="7" t="s">
        <v>1112</v>
      </c>
      <c r="B230" s="7" t="s">
        <v>1136</v>
      </c>
      <c r="C230" s="7"/>
      <c r="D230" s="12" t="s">
        <v>1141</v>
      </c>
      <c r="E230" s="8" t="s">
        <v>82</v>
      </c>
      <c r="F230" s="13">
        <v>1E-3</v>
      </c>
      <c r="G230" s="12"/>
    </row>
    <row r="231" spans="1:7" x14ac:dyDescent="0.25">
      <c r="A231" s="7" t="s">
        <v>1112</v>
      </c>
      <c r="B231" s="7" t="s">
        <v>1136</v>
      </c>
      <c r="C231" s="7"/>
      <c r="D231" s="12" t="s">
        <v>1142</v>
      </c>
      <c r="E231" s="8" t="s">
        <v>82</v>
      </c>
      <c r="F231" s="13">
        <v>1E-3</v>
      </c>
      <c r="G231" s="12"/>
    </row>
    <row r="232" spans="1:7" x14ac:dyDescent="0.25">
      <c r="A232" s="7" t="s">
        <v>1112</v>
      </c>
      <c r="B232" s="7" t="s">
        <v>1143</v>
      </c>
      <c r="C232" s="7"/>
      <c r="D232" s="12" t="s">
        <v>1144</v>
      </c>
      <c r="E232" s="8" t="s">
        <v>82</v>
      </c>
      <c r="F232" s="13">
        <v>1E-3</v>
      </c>
      <c r="G232" s="12"/>
    </row>
    <row r="233" spans="1:7" x14ac:dyDescent="0.25">
      <c r="A233" s="7" t="s">
        <v>1112</v>
      </c>
      <c r="B233" s="7" t="s">
        <v>1143</v>
      </c>
      <c r="C233" s="7"/>
      <c r="D233" s="12" t="s">
        <v>1145</v>
      </c>
      <c r="E233" s="8" t="s">
        <v>82</v>
      </c>
      <c r="F233" s="13">
        <v>1E-3</v>
      </c>
      <c r="G233" s="12"/>
    </row>
    <row r="234" spans="1:7" x14ac:dyDescent="0.25">
      <c r="A234" s="7" t="s">
        <v>1112</v>
      </c>
      <c r="B234" s="7" t="s">
        <v>1146</v>
      </c>
      <c r="C234" s="7"/>
      <c r="D234" s="12" t="s">
        <v>1147</v>
      </c>
      <c r="E234" s="8" t="s">
        <v>82</v>
      </c>
      <c r="F234" s="13">
        <v>1E-3</v>
      </c>
      <c r="G234" s="12"/>
    </row>
    <row r="235" spans="1:7" x14ac:dyDescent="0.25">
      <c r="A235" s="7" t="s">
        <v>1112</v>
      </c>
      <c r="B235" s="7" t="s">
        <v>1146</v>
      </c>
      <c r="C235" s="7"/>
      <c r="D235" s="12" t="s">
        <v>1148</v>
      </c>
      <c r="E235" s="8" t="s">
        <v>82</v>
      </c>
      <c r="F235" s="13">
        <v>1E-3</v>
      </c>
      <c r="G235" s="12"/>
    </row>
    <row r="236" spans="1:7" x14ac:dyDescent="0.25">
      <c r="A236" s="7" t="s">
        <v>1112</v>
      </c>
      <c r="B236" s="7" t="s">
        <v>1149</v>
      </c>
      <c r="C236" s="7"/>
      <c r="D236" s="12" t="s">
        <v>1150</v>
      </c>
      <c r="E236" s="8" t="s">
        <v>82</v>
      </c>
      <c r="F236" s="13">
        <v>1E-3</v>
      </c>
      <c r="G236" s="12"/>
    </row>
    <row r="237" spans="1:7" x14ac:dyDescent="0.25">
      <c r="A237" s="7" t="s">
        <v>1112</v>
      </c>
      <c r="B237" s="7" t="s">
        <v>1149</v>
      </c>
      <c r="C237" s="7"/>
      <c r="D237" s="12" t="s">
        <v>1151</v>
      </c>
      <c r="E237" s="8" t="s">
        <v>82</v>
      </c>
      <c r="F237" s="13">
        <v>1E-3</v>
      </c>
      <c r="G237" s="12"/>
    </row>
    <row r="238" spans="1:7" x14ac:dyDescent="0.25">
      <c r="A238" s="7" t="s">
        <v>1112</v>
      </c>
      <c r="B238" s="7" t="s">
        <v>1149</v>
      </c>
      <c r="C238" s="7"/>
      <c r="D238" s="12" t="s">
        <v>1152</v>
      </c>
      <c r="E238" s="8" t="s">
        <v>82</v>
      </c>
      <c r="F238" s="13">
        <v>1E-3</v>
      </c>
      <c r="G238" s="12"/>
    </row>
    <row r="239" spans="1:7" x14ac:dyDescent="0.25">
      <c r="A239" s="7" t="s">
        <v>1153</v>
      </c>
      <c r="B239" s="7" t="s">
        <v>1154</v>
      </c>
      <c r="C239" s="7"/>
      <c r="D239" s="12" t="s">
        <v>1155</v>
      </c>
      <c r="E239" s="8" t="s">
        <v>82</v>
      </c>
      <c r="F239" s="13">
        <v>1E-3</v>
      </c>
      <c r="G239" s="12"/>
    </row>
    <row r="240" spans="1:7" x14ac:dyDescent="0.25">
      <c r="A240" s="7" t="s">
        <v>1153</v>
      </c>
      <c r="B240" s="7" t="s">
        <v>1154</v>
      </c>
      <c r="C240" s="7"/>
      <c r="D240" s="12" t="s">
        <v>1156</v>
      </c>
      <c r="E240" s="8" t="s">
        <v>82</v>
      </c>
      <c r="F240" s="13">
        <v>1E-3</v>
      </c>
      <c r="G240" s="12"/>
    </row>
    <row r="241" spans="1:7" x14ac:dyDescent="0.25">
      <c r="A241" s="7" t="s">
        <v>1153</v>
      </c>
      <c r="B241" s="7" t="s">
        <v>1154</v>
      </c>
      <c r="C241" s="7"/>
      <c r="D241" s="12" t="s">
        <v>1157</v>
      </c>
      <c r="E241" s="8" t="s">
        <v>82</v>
      </c>
      <c r="F241" s="13">
        <v>1E-3</v>
      </c>
      <c r="G241" s="12"/>
    </row>
    <row r="242" spans="1:7" x14ac:dyDescent="0.25">
      <c r="A242" s="7" t="s">
        <v>1153</v>
      </c>
      <c r="B242" s="7" t="s">
        <v>1154</v>
      </c>
      <c r="C242" s="7"/>
      <c r="D242" s="12" t="s">
        <v>1158</v>
      </c>
      <c r="E242" s="8" t="s">
        <v>82</v>
      </c>
      <c r="F242" s="13">
        <v>1E-3</v>
      </c>
      <c r="G242" s="12"/>
    </row>
    <row r="243" spans="1:7" x14ac:dyDescent="0.25">
      <c r="A243" s="7" t="s">
        <v>1153</v>
      </c>
      <c r="B243" s="7" t="s">
        <v>1154</v>
      </c>
      <c r="C243" s="7"/>
      <c r="D243" s="12" t="s">
        <v>1159</v>
      </c>
      <c r="E243" s="8" t="s">
        <v>82</v>
      </c>
      <c r="F243" s="13">
        <v>1E-3</v>
      </c>
      <c r="G243" s="12"/>
    </row>
    <row r="244" spans="1:7" x14ac:dyDescent="0.25">
      <c r="A244" s="7" t="s">
        <v>1153</v>
      </c>
      <c r="B244" s="7" t="s">
        <v>1154</v>
      </c>
      <c r="C244" s="7"/>
      <c r="D244" s="12" t="s">
        <v>1160</v>
      </c>
      <c r="E244" s="8" t="s">
        <v>82</v>
      </c>
      <c r="F244" s="13">
        <v>1E-3</v>
      </c>
      <c r="G244" s="12"/>
    </row>
    <row r="245" spans="1:7" x14ac:dyDescent="0.25">
      <c r="A245" s="7" t="s">
        <v>1153</v>
      </c>
      <c r="B245" s="7" t="s">
        <v>1161</v>
      </c>
      <c r="C245" s="7"/>
      <c r="D245" s="12" t="s">
        <v>1162</v>
      </c>
      <c r="E245" s="8" t="s">
        <v>82</v>
      </c>
      <c r="F245" s="13">
        <v>2E-3</v>
      </c>
      <c r="G245" s="12"/>
    </row>
    <row r="246" spans="1:7" x14ac:dyDescent="0.25">
      <c r="A246" s="7" t="s">
        <v>1153</v>
      </c>
      <c r="B246" s="7" t="s">
        <v>1161</v>
      </c>
      <c r="C246" s="7"/>
      <c r="D246" s="12" t="s">
        <v>1163</v>
      </c>
      <c r="E246" s="8" t="s">
        <v>82</v>
      </c>
      <c r="F246" s="13">
        <v>1E-3</v>
      </c>
      <c r="G246" s="12"/>
    </row>
    <row r="247" spans="1:7" x14ac:dyDescent="0.25">
      <c r="A247" s="7" t="s">
        <v>1153</v>
      </c>
      <c r="B247" s="7" t="s">
        <v>1161</v>
      </c>
      <c r="C247" s="7"/>
      <c r="D247" s="12" t="s">
        <v>1164</v>
      </c>
      <c r="E247" s="8" t="s">
        <v>82</v>
      </c>
      <c r="F247" s="13">
        <v>1E-3</v>
      </c>
      <c r="G247" s="12"/>
    </row>
    <row r="248" spans="1:7" x14ac:dyDescent="0.25">
      <c r="A248" s="7" t="s">
        <v>1153</v>
      </c>
      <c r="B248" s="7" t="s">
        <v>1161</v>
      </c>
      <c r="C248" s="7"/>
      <c r="D248" s="12" t="s">
        <v>1165</v>
      </c>
      <c r="E248" s="8" t="s">
        <v>82</v>
      </c>
      <c r="F248" s="13">
        <v>1E-3</v>
      </c>
      <c r="G248" s="12"/>
    </row>
    <row r="249" spans="1:7" x14ac:dyDescent="0.25">
      <c r="A249" s="7" t="s">
        <v>1153</v>
      </c>
      <c r="B249" s="7" t="s">
        <v>1161</v>
      </c>
      <c r="C249" s="7"/>
      <c r="D249" s="12" t="s">
        <v>1166</v>
      </c>
      <c r="E249" s="8" t="s">
        <v>82</v>
      </c>
      <c r="F249" s="13">
        <v>1E-3</v>
      </c>
      <c r="G249" s="12"/>
    </row>
    <row r="250" spans="1:7" x14ac:dyDescent="0.25">
      <c r="A250" s="7" t="s">
        <v>1153</v>
      </c>
      <c r="B250" s="7" t="s">
        <v>1161</v>
      </c>
      <c r="C250" s="7"/>
      <c r="D250" s="12" t="s">
        <v>1167</v>
      </c>
      <c r="E250" s="8" t="s">
        <v>82</v>
      </c>
      <c r="F250" s="13">
        <v>1E-3</v>
      </c>
      <c r="G250" s="12"/>
    </row>
    <row r="251" spans="1:7" x14ac:dyDescent="0.25">
      <c r="A251" s="7" t="s">
        <v>1153</v>
      </c>
      <c r="B251" s="7" t="s">
        <v>1161</v>
      </c>
      <c r="C251" s="7"/>
      <c r="D251" s="12" t="s">
        <v>1168</v>
      </c>
      <c r="E251" s="8" t="s">
        <v>82</v>
      </c>
      <c r="F251" s="13">
        <v>1E-3</v>
      </c>
      <c r="G251" s="12"/>
    </row>
    <row r="252" spans="1:7" x14ac:dyDescent="0.25">
      <c r="A252" s="7" t="s">
        <v>1153</v>
      </c>
      <c r="B252" s="7" t="s">
        <v>1161</v>
      </c>
      <c r="C252" s="7"/>
      <c r="D252" s="12" t="s">
        <v>1169</v>
      </c>
      <c r="E252" s="8" t="s">
        <v>82</v>
      </c>
      <c r="F252" s="13">
        <v>1E-3</v>
      </c>
      <c r="G252" s="12"/>
    </row>
    <row r="253" spans="1:7" x14ac:dyDescent="0.25">
      <c r="A253" s="7" t="s">
        <v>1153</v>
      </c>
      <c r="B253" s="7" t="s">
        <v>1170</v>
      </c>
      <c r="C253" s="7"/>
      <c r="D253" s="12" t="s">
        <v>1171</v>
      </c>
      <c r="E253" s="8" t="s">
        <v>82</v>
      </c>
      <c r="F253" s="13">
        <v>1E-3</v>
      </c>
      <c r="G253" s="12"/>
    </row>
    <row r="254" spans="1:7" x14ac:dyDescent="0.25">
      <c r="A254" s="7" t="s">
        <v>1153</v>
      </c>
      <c r="B254" s="7" t="s">
        <v>1170</v>
      </c>
      <c r="C254" s="7"/>
      <c r="D254" s="12" t="s">
        <v>1172</v>
      </c>
      <c r="E254" s="8" t="s">
        <v>82</v>
      </c>
      <c r="F254" s="13">
        <v>1E-3</v>
      </c>
      <c r="G254" s="12"/>
    </row>
    <row r="255" spans="1:7" x14ac:dyDescent="0.25">
      <c r="A255" s="7" t="s">
        <v>1153</v>
      </c>
      <c r="B255" s="7" t="s">
        <v>1170</v>
      </c>
      <c r="C255" s="7"/>
      <c r="D255" s="12" t="s">
        <v>1173</v>
      </c>
      <c r="E255" s="8" t="s">
        <v>82</v>
      </c>
      <c r="F255" s="13">
        <v>1E-3</v>
      </c>
      <c r="G255" s="12"/>
    </row>
    <row r="256" spans="1:7" x14ac:dyDescent="0.25">
      <c r="A256" s="7" t="s">
        <v>1153</v>
      </c>
      <c r="B256" s="7" t="s">
        <v>1170</v>
      </c>
      <c r="C256" s="7"/>
      <c r="D256" s="12" t="s">
        <v>1174</v>
      </c>
      <c r="E256" s="8" t="s">
        <v>82</v>
      </c>
      <c r="F256" s="13">
        <v>1E-3</v>
      </c>
      <c r="G256" s="12"/>
    </row>
    <row r="257" spans="1:7" x14ac:dyDescent="0.25">
      <c r="A257" s="7" t="s">
        <v>1153</v>
      </c>
      <c r="B257" s="7" t="s">
        <v>1170</v>
      </c>
      <c r="C257" s="7"/>
      <c r="D257" s="12" t="s">
        <v>1175</v>
      </c>
      <c r="E257" s="8" t="s">
        <v>82</v>
      </c>
      <c r="F257" s="13">
        <v>1E-3</v>
      </c>
      <c r="G257" s="12"/>
    </row>
    <row r="258" spans="1:7" x14ac:dyDescent="0.25">
      <c r="A258" s="7" t="s">
        <v>1153</v>
      </c>
      <c r="B258" s="7" t="s">
        <v>1170</v>
      </c>
      <c r="C258" s="7"/>
      <c r="D258" s="12" t="s">
        <v>1176</v>
      </c>
      <c r="E258" s="8" t="s">
        <v>82</v>
      </c>
      <c r="F258" s="13">
        <v>1E-3</v>
      </c>
      <c r="G258" s="12"/>
    </row>
    <row r="259" spans="1:7" x14ac:dyDescent="0.25">
      <c r="A259" s="7" t="s">
        <v>1153</v>
      </c>
      <c r="B259" s="7" t="s">
        <v>1177</v>
      </c>
      <c r="C259" s="7"/>
      <c r="D259" s="12" t="s">
        <v>1178</v>
      </c>
      <c r="E259" s="8" t="s">
        <v>82</v>
      </c>
      <c r="F259" s="13">
        <v>1E-3</v>
      </c>
      <c r="G259" s="12"/>
    </row>
    <row r="260" spans="1:7" x14ac:dyDescent="0.25">
      <c r="A260" s="7" t="s">
        <v>1153</v>
      </c>
      <c r="B260" s="7" t="s">
        <v>1177</v>
      </c>
      <c r="C260" s="7"/>
      <c r="D260" s="12" t="s">
        <v>1179</v>
      </c>
      <c r="E260" s="8" t="s">
        <v>82</v>
      </c>
      <c r="F260" s="13">
        <v>1E-3</v>
      </c>
      <c r="G260" s="12"/>
    </row>
    <row r="261" spans="1:7" x14ac:dyDescent="0.25">
      <c r="A261" s="7" t="s">
        <v>1153</v>
      </c>
      <c r="B261" s="7" t="s">
        <v>1177</v>
      </c>
      <c r="C261" s="7"/>
      <c r="D261" s="12" t="s">
        <v>1180</v>
      </c>
      <c r="E261" s="8" t="s">
        <v>82</v>
      </c>
      <c r="F261" s="13">
        <v>1E-3</v>
      </c>
      <c r="G261" s="12"/>
    </row>
    <row r="262" spans="1:7" x14ac:dyDescent="0.25">
      <c r="A262" s="7" t="s">
        <v>1153</v>
      </c>
      <c r="B262" s="7" t="s">
        <v>1177</v>
      </c>
      <c r="C262" s="7"/>
      <c r="D262" s="12" t="s">
        <v>1181</v>
      </c>
      <c r="E262" s="8" t="s">
        <v>82</v>
      </c>
      <c r="F262" s="13">
        <v>1E-3</v>
      </c>
      <c r="G262" s="12"/>
    </row>
    <row r="263" spans="1:7" x14ac:dyDescent="0.25">
      <c r="A263" s="7" t="s">
        <v>1153</v>
      </c>
      <c r="B263" s="7" t="s">
        <v>1177</v>
      </c>
      <c r="C263" s="7"/>
      <c r="D263" s="12" t="s">
        <v>1182</v>
      </c>
      <c r="E263" s="8" t="s">
        <v>82</v>
      </c>
      <c r="F263" s="13">
        <v>1E-3</v>
      </c>
      <c r="G263" s="12"/>
    </row>
    <row r="264" spans="1:7" x14ac:dyDescent="0.25">
      <c r="A264" s="7" t="s">
        <v>1153</v>
      </c>
      <c r="B264" s="7" t="s">
        <v>1177</v>
      </c>
      <c r="C264" s="7"/>
      <c r="D264" s="12" t="s">
        <v>1183</v>
      </c>
      <c r="E264" s="8" t="s">
        <v>82</v>
      </c>
      <c r="F264" s="13">
        <v>1E-3</v>
      </c>
      <c r="G264" s="12"/>
    </row>
    <row r="265" spans="1:7" x14ac:dyDescent="0.25">
      <c r="A265" s="7" t="s">
        <v>1153</v>
      </c>
      <c r="B265" s="7" t="s">
        <v>1177</v>
      </c>
      <c r="C265" s="7"/>
      <c r="D265" s="12" t="s">
        <v>1184</v>
      </c>
      <c r="E265" s="8" t="s">
        <v>82</v>
      </c>
      <c r="F265" s="13">
        <v>1E-3</v>
      </c>
      <c r="G265" s="12"/>
    </row>
    <row r="266" spans="1:7" x14ac:dyDescent="0.25">
      <c r="A266" s="7" t="s">
        <v>1153</v>
      </c>
      <c r="B266" s="7" t="s">
        <v>1177</v>
      </c>
      <c r="C266" s="7"/>
      <c r="D266" s="12" t="s">
        <v>1185</v>
      </c>
      <c r="E266" s="8" t="s">
        <v>82</v>
      </c>
      <c r="F266" s="13">
        <v>1E-3</v>
      </c>
      <c r="G266" s="12"/>
    </row>
    <row r="267" spans="1:7" x14ac:dyDescent="0.25">
      <c r="A267" s="7" t="s">
        <v>1153</v>
      </c>
      <c r="B267" s="7" t="s">
        <v>1177</v>
      </c>
      <c r="C267" s="7"/>
      <c r="D267" s="12" t="s">
        <v>1186</v>
      </c>
      <c r="E267" s="8" t="s">
        <v>82</v>
      </c>
      <c r="F267" s="13">
        <v>1E-3</v>
      </c>
      <c r="G267" s="12"/>
    </row>
    <row r="268" spans="1:7" x14ac:dyDescent="0.25">
      <c r="A268" s="7" t="s">
        <v>1153</v>
      </c>
      <c r="B268" s="7" t="s">
        <v>1177</v>
      </c>
      <c r="C268" s="7"/>
      <c r="D268" s="12" t="s">
        <v>1187</v>
      </c>
      <c r="E268" s="8" t="s">
        <v>82</v>
      </c>
      <c r="F268" s="13">
        <v>1E-3</v>
      </c>
      <c r="G268" s="12"/>
    </row>
    <row r="269" spans="1:7" x14ac:dyDescent="0.25">
      <c r="A269" s="7" t="s">
        <v>1153</v>
      </c>
      <c r="B269" s="7" t="s">
        <v>1177</v>
      </c>
      <c r="C269" s="7"/>
      <c r="D269" s="12" t="s">
        <v>1188</v>
      </c>
      <c r="E269" s="8" t="s">
        <v>82</v>
      </c>
      <c r="F269" s="13">
        <v>1E-3</v>
      </c>
      <c r="G269" s="12"/>
    </row>
    <row r="270" spans="1:7" x14ac:dyDescent="0.25">
      <c r="A270" s="7" t="s">
        <v>1153</v>
      </c>
      <c r="B270" s="7" t="s">
        <v>1177</v>
      </c>
      <c r="C270" s="7"/>
      <c r="D270" s="12" t="s">
        <v>1189</v>
      </c>
      <c r="E270" s="8" t="s">
        <v>82</v>
      </c>
      <c r="F270" s="13">
        <v>1E-3</v>
      </c>
      <c r="G270" s="12"/>
    </row>
    <row r="271" spans="1:7" x14ac:dyDescent="0.25">
      <c r="A271" s="7" t="s">
        <v>1153</v>
      </c>
      <c r="B271" s="7" t="s">
        <v>1177</v>
      </c>
      <c r="C271" s="7"/>
      <c r="D271" s="12" t="s">
        <v>1190</v>
      </c>
      <c r="E271" s="8" t="s">
        <v>82</v>
      </c>
      <c r="F271" s="13">
        <v>1E-3</v>
      </c>
      <c r="G271" s="12"/>
    </row>
    <row r="272" spans="1:7" x14ac:dyDescent="0.25">
      <c r="A272" s="7" t="s">
        <v>1153</v>
      </c>
      <c r="B272" s="7" t="s">
        <v>1177</v>
      </c>
      <c r="C272" s="7"/>
      <c r="D272" s="12" t="s">
        <v>1191</v>
      </c>
      <c r="E272" s="8" t="s">
        <v>82</v>
      </c>
      <c r="F272" s="13">
        <v>1E-3</v>
      </c>
      <c r="G272" s="12"/>
    </row>
    <row r="273" spans="1:7" x14ac:dyDescent="0.25">
      <c r="A273" s="7" t="s">
        <v>1153</v>
      </c>
      <c r="B273" s="7" t="s">
        <v>1177</v>
      </c>
      <c r="C273" s="7"/>
      <c r="D273" s="12" t="s">
        <v>1192</v>
      </c>
      <c r="E273" s="8" t="s">
        <v>82</v>
      </c>
      <c r="F273" s="13">
        <v>1E-3</v>
      </c>
      <c r="G273" s="12"/>
    </row>
    <row r="274" spans="1:7" x14ac:dyDescent="0.25">
      <c r="A274" s="7" t="s">
        <v>1153</v>
      </c>
      <c r="B274" s="7" t="s">
        <v>1177</v>
      </c>
      <c r="C274" s="7"/>
      <c r="D274" s="12" t="s">
        <v>1193</v>
      </c>
      <c r="E274" s="8" t="s">
        <v>82</v>
      </c>
      <c r="F274" s="13">
        <v>1E-3</v>
      </c>
      <c r="G274" s="12"/>
    </row>
    <row r="275" spans="1:7" x14ac:dyDescent="0.25">
      <c r="A275" s="7" t="s">
        <v>1153</v>
      </c>
      <c r="B275" s="7" t="s">
        <v>1177</v>
      </c>
      <c r="C275" s="7"/>
      <c r="D275" s="12" t="s">
        <v>1194</v>
      </c>
      <c r="E275" s="8" t="s">
        <v>82</v>
      </c>
      <c r="F275" s="13">
        <v>1E-3</v>
      </c>
      <c r="G275" s="12"/>
    </row>
    <row r="276" spans="1:7" x14ac:dyDescent="0.25">
      <c r="A276" s="7" t="s">
        <v>1153</v>
      </c>
      <c r="B276" s="7" t="s">
        <v>1177</v>
      </c>
      <c r="C276" s="7"/>
      <c r="D276" s="12" t="s">
        <v>1195</v>
      </c>
      <c r="E276" s="8" t="s">
        <v>82</v>
      </c>
      <c r="F276" s="13">
        <v>1E-3</v>
      </c>
      <c r="G276" s="12"/>
    </row>
    <row r="277" spans="1:7" x14ac:dyDescent="0.25">
      <c r="A277" s="7" t="s">
        <v>1153</v>
      </c>
      <c r="B277" s="7" t="s">
        <v>1177</v>
      </c>
      <c r="C277" s="7"/>
      <c r="D277" s="12" t="s">
        <v>1196</v>
      </c>
      <c r="E277" s="8" t="s">
        <v>82</v>
      </c>
      <c r="F277" s="13">
        <v>1E-3</v>
      </c>
      <c r="G277" s="12"/>
    </row>
    <row r="278" spans="1:7" x14ac:dyDescent="0.25">
      <c r="A278" s="7" t="s">
        <v>1153</v>
      </c>
      <c r="B278" s="7" t="s">
        <v>1177</v>
      </c>
      <c r="C278" s="7"/>
      <c r="D278" s="12" t="s">
        <v>1197</v>
      </c>
      <c r="E278" s="8" t="s">
        <v>82</v>
      </c>
      <c r="F278" s="13">
        <v>1E-3</v>
      </c>
      <c r="G278" s="12"/>
    </row>
    <row r="279" spans="1:7" x14ac:dyDescent="0.25">
      <c r="A279" s="7" t="s">
        <v>1153</v>
      </c>
      <c r="B279" s="7" t="s">
        <v>1177</v>
      </c>
      <c r="C279" s="7"/>
      <c r="D279" s="12" t="s">
        <v>1198</v>
      </c>
      <c r="E279" s="8" t="s">
        <v>82</v>
      </c>
      <c r="F279" s="13">
        <v>1E-3</v>
      </c>
      <c r="G279" s="12"/>
    </row>
    <row r="280" spans="1:7" x14ac:dyDescent="0.25">
      <c r="A280" s="7" t="s">
        <v>1153</v>
      </c>
      <c r="B280" s="7" t="s">
        <v>1177</v>
      </c>
      <c r="C280" s="7"/>
      <c r="D280" s="12" t="s">
        <v>1199</v>
      </c>
      <c r="E280" s="8" t="s">
        <v>82</v>
      </c>
      <c r="F280" s="13">
        <v>1E-3</v>
      </c>
      <c r="G280" s="12"/>
    </row>
    <row r="281" spans="1:7" x14ac:dyDescent="0.25">
      <c r="A281" s="7" t="s">
        <v>1153</v>
      </c>
      <c r="B281" s="7" t="s">
        <v>1200</v>
      </c>
      <c r="C281" s="7"/>
      <c r="D281" s="12" t="s">
        <v>1201</v>
      </c>
      <c r="E281" s="8" t="s">
        <v>82</v>
      </c>
      <c r="F281" s="13">
        <v>1E-3</v>
      </c>
      <c r="G281" s="12"/>
    </row>
    <row r="282" spans="1:7" x14ac:dyDescent="0.25">
      <c r="A282" s="7" t="s">
        <v>1153</v>
      </c>
      <c r="B282" s="7" t="s">
        <v>1200</v>
      </c>
      <c r="C282" s="7"/>
      <c r="D282" s="12" t="s">
        <v>1202</v>
      </c>
      <c r="E282" s="8" t="s">
        <v>82</v>
      </c>
      <c r="F282" s="13">
        <v>3.1E-2</v>
      </c>
      <c r="G282" s="12"/>
    </row>
    <row r="283" spans="1:7" x14ac:dyDescent="0.25">
      <c r="A283" s="7" t="s">
        <v>1153</v>
      </c>
      <c r="B283" s="7" t="s">
        <v>1200</v>
      </c>
      <c r="C283" s="7"/>
      <c r="D283" s="12" t="s">
        <v>1203</v>
      </c>
      <c r="E283" s="8" t="s">
        <v>82</v>
      </c>
      <c r="F283" s="13">
        <v>1.6E-2</v>
      </c>
      <c r="G283" s="12"/>
    </row>
    <row r="284" spans="1:7" x14ac:dyDescent="0.25">
      <c r="A284" s="7" t="s">
        <v>1153</v>
      </c>
      <c r="B284" s="7" t="s">
        <v>1200</v>
      </c>
      <c r="C284" s="7"/>
      <c r="D284" s="12" t="s">
        <v>1204</v>
      </c>
      <c r="E284" s="8" t="s">
        <v>82</v>
      </c>
      <c r="F284" s="13">
        <v>1.2E-2</v>
      </c>
      <c r="G284" s="12"/>
    </row>
    <row r="285" spans="1:7" x14ac:dyDescent="0.25">
      <c r="A285" s="7" t="s">
        <v>1153</v>
      </c>
      <c r="B285" s="7" t="s">
        <v>1200</v>
      </c>
      <c r="C285" s="7"/>
      <c r="D285" s="12" t="s">
        <v>1205</v>
      </c>
      <c r="E285" s="8" t="s">
        <v>82</v>
      </c>
      <c r="F285" s="13">
        <v>0.01</v>
      </c>
      <c r="G285" s="12"/>
    </row>
    <row r="286" spans="1:7" x14ac:dyDescent="0.25">
      <c r="A286" s="7" t="s">
        <v>1153</v>
      </c>
      <c r="B286" s="7" t="s">
        <v>1200</v>
      </c>
      <c r="C286" s="7"/>
      <c r="D286" s="12" t="s">
        <v>1206</v>
      </c>
      <c r="E286" s="8" t="s">
        <v>82</v>
      </c>
      <c r="F286" s="13">
        <v>1.4999999999999999E-2</v>
      </c>
      <c r="G286" s="12"/>
    </row>
    <row r="287" spans="1:7" x14ac:dyDescent="0.25">
      <c r="A287" s="7" t="s">
        <v>1153</v>
      </c>
      <c r="B287" s="7" t="s">
        <v>1200</v>
      </c>
      <c r="C287" s="7"/>
      <c r="D287" s="12" t="s">
        <v>1207</v>
      </c>
      <c r="E287" s="8" t="s">
        <v>82</v>
      </c>
      <c r="F287" s="13">
        <v>1.7999999999999999E-2</v>
      </c>
      <c r="G287" s="12"/>
    </row>
    <row r="288" spans="1:7" x14ac:dyDescent="0.25">
      <c r="A288" s="7" t="s">
        <v>1153</v>
      </c>
      <c r="B288" s="7" t="s">
        <v>1200</v>
      </c>
      <c r="C288" s="7"/>
      <c r="D288" s="12" t="s">
        <v>1208</v>
      </c>
      <c r="E288" s="8" t="s">
        <v>82</v>
      </c>
      <c r="F288" s="13">
        <v>0.01</v>
      </c>
      <c r="G288" s="12"/>
    </row>
    <row r="289" spans="1:7" x14ac:dyDescent="0.25">
      <c r="A289" s="7" t="s">
        <v>1153</v>
      </c>
      <c r="B289" s="7" t="s">
        <v>1200</v>
      </c>
      <c r="C289" s="7"/>
      <c r="D289" s="12" t="s">
        <v>1209</v>
      </c>
      <c r="E289" s="8" t="s">
        <v>82</v>
      </c>
      <c r="F289" s="13">
        <v>3.5000000000000003E-2</v>
      </c>
      <c r="G289" s="12"/>
    </row>
    <row r="290" spans="1:7" x14ac:dyDescent="0.25">
      <c r="A290" s="7" t="s">
        <v>1153</v>
      </c>
      <c r="B290" s="7" t="s">
        <v>1200</v>
      </c>
      <c r="C290" s="7"/>
      <c r="D290" s="12" t="s">
        <v>1210</v>
      </c>
      <c r="E290" s="8" t="s">
        <v>82</v>
      </c>
      <c r="F290" s="13">
        <v>1.9E-2</v>
      </c>
      <c r="G290" s="12"/>
    </row>
    <row r="291" spans="1:7" x14ac:dyDescent="0.25">
      <c r="A291" s="7" t="s">
        <v>1153</v>
      </c>
      <c r="B291" s="7" t="s">
        <v>1200</v>
      </c>
      <c r="C291" s="7"/>
      <c r="D291" s="12" t="s">
        <v>1211</v>
      </c>
      <c r="E291" s="8" t="s">
        <v>82</v>
      </c>
      <c r="F291" s="13">
        <v>1E-3</v>
      </c>
      <c r="G291" s="12"/>
    </row>
    <row r="292" spans="1:7" x14ac:dyDescent="0.25">
      <c r="A292" s="7" t="s">
        <v>1153</v>
      </c>
      <c r="B292" s="7" t="s">
        <v>1200</v>
      </c>
      <c r="C292" s="7"/>
      <c r="D292" s="12" t="s">
        <v>1212</v>
      </c>
      <c r="E292" s="8" t="s">
        <v>82</v>
      </c>
      <c r="F292" s="13">
        <v>1.2E-2</v>
      </c>
      <c r="G292" s="12"/>
    </row>
    <row r="293" spans="1:7" x14ac:dyDescent="0.25">
      <c r="A293" s="7" t="s">
        <v>1153</v>
      </c>
      <c r="B293" s="7" t="s">
        <v>1200</v>
      </c>
      <c r="C293" s="7"/>
      <c r="D293" s="12" t="s">
        <v>1213</v>
      </c>
      <c r="E293" s="8" t="s">
        <v>82</v>
      </c>
      <c r="F293" s="13">
        <v>3.5999999999999997E-2</v>
      </c>
      <c r="G293" s="12"/>
    </row>
    <row r="294" spans="1:7" x14ac:dyDescent="0.25">
      <c r="A294" s="7" t="s">
        <v>1153</v>
      </c>
      <c r="B294" s="7" t="s">
        <v>1200</v>
      </c>
      <c r="C294" s="7"/>
      <c r="D294" s="12" t="s">
        <v>1214</v>
      </c>
      <c r="E294" s="8" t="s">
        <v>82</v>
      </c>
      <c r="F294" s="13">
        <v>0.03</v>
      </c>
      <c r="G294" s="12"/>
    </row>
    <row r="295" spans="1:7" x14ac:dyDescent="0.25">
      <c r="A295" s="7" t="s">
        <v>1153</v>
      </c>
      <c r="B295" s="7" t="s">
        <v>1200</v>
      </c>
      <c r="C295" s="7"/>
      <c r="D295" s="12" t="s">
        <v>1215</v>
      </c>
      <c r="E295" s="8" t="s">
        <v>82</v>
      </c>
      <c r="F295" s="13">
        <v>2.4E-2</v>
      </c>
      <c r="G295" s="12"/>
    </row>
    <row r="296" spans="1:7" x14ac:dyDescent="0.25">
      <c r="A296" s="7" t="s">
        <v>1153</v>
      </c>
      <c r="B296" s="7" t="s">
        <v>1200</v>
      </c>
      <c r="C296" s="7"/>
      <c r="D296" s="12" t="s">
        <v>1216</v>
      </c>
      <c r="E296" s="8" t="s">
        <v>82</v>
      </c>
      <c r="F296" s="13">
        <v>1.7999999999999999E-2</v>
      </c>
      <c r="G296" s="12"/>
    </row>
    <row r="297" spans="1:7" x14ac:dyDescent="0.25">
      <c r="A297" s="7" t="s">
        <v>1153</v>
      </c>
      <c r="B297" s="7" t="s">
        <v>1200</v>
      </c>
      <c r="C297" s="7"/>
      <c r="D297" s="12" t="s">
        <v>1217</v>
      </c>
      <c r="E297" s="8" t="s">
        <v>82</v>
      </c>
      <c r="F297" s="13">
        <v>2.1999999999999999E-2</v>
      </c>
      <c r="G297" s="12"/>
    </row>
    <row r="298" spans="1:7" x14ac:dyDescent="0.25">
      <c r="A298" s="7" t="s">
        <v>1153</v>
      </c>
      <c r="B298" s="7" t="s">
        <v>1218</v>
      </c>
      <c r="C298" s="7"/>
      <c r="D298" s="12" t="s">
        <v>1219</v>
      </c>
      <c r="E298" s="8" t="s">
        <v>82</v>
      </c>
      <c r="F298" s="13">
        <v>1.0999999999999999E-2</v>
      </c>
      <c r="G298" s="12"/>
    </row>
    <row r="299" spans="1:7" x14ac:dyDescent="0.25">
      <c r="A299" s="7" t="s">
        <v>1153</v>
      </c>
      <c r="B299" s="7" t="s">
        <v>1218</v>
      </c>
      <c r="C299" s="7"/>
      <c r="D299" s="12" t="s">
        <v>1220</v>
      </c>
      <c r="E299" s="8" t="s">
        <v>82</v>
      </c>
      <c r="F299" s="13">
        <v>8.0000000000000002E-3</v>
      </c>
      <c r="G299" s="12"/>
    </row>
    <row r="300" spans="1:7" x14ac:dyDescent="0.25">
      <c r="A300" s="7" t="s">
        <v>1153</v>
      </c>
      <c r="B300" s="7" t="s">
        <v>1218</v>
      </c>
      <c r="C300" s="7"/>
      <c r="D300" s="12" t="s">
        <v>1221</v>
      </c>
      <c r="E300" s="8" t="s">
        <v>82</v>
      </c>
      <c r="F300" s="13">
        <v>8.9999999999999993E-3</v>
      </c>
      <c r="G300" s="12"/>
    </row>
    <row r="301" spans="1:7" x14ac:dyDescent="0.25">
      <c r="A301" s="7" t="s">
        <v>1153</v>
      </c>
      <c r="B301" s="7" t="s">
        <v>1218</v>
      </c>
      <c r="C301" s="7"/>
      <c r="D301" s="12" t="s">
        <v>1222</v>
      </c>
      <c r="E301" s="8" t="s">
        <v>82</v>
      </c>
      <c r="F301" s="13">
        <v>0.01</v>
      </c>
      <c r="G301" s="12"/>
    </row>
    <row r="302" spans="1:7" x14ac:dyDescent="0.25">
      <c r="A302" s="7" t="s">
        <v>1153</v>
      </c>
      <c r="B302" s="7" t="s">
        <v>1218</v>
      </c>
      <c r="C302" s="7"/>
      <c r="D302" s="12" t="s">
        <v>1223</v>
      </c>
      <c r="E302" s="8" t="s">
        <v>82</v>
      </c>
      <c r="F302" s="13">
        <v>1E-3</v>
      </c>
      <c r="G302" s="12"/>
    </row>
    <row r="303" spans="1:7" x14ac:dyDescent="0.25">
      <c r="A303" s="7" t="s">
        <v>1153</v>
      </c>
      <c r="B303" s="7" t="s">
        <v>1218</v>
      </c>
      <c r="C303" s="7"/>
      <c r="D303" s="12" t="s">
        <v>1224</v>
      </c>
      <c r="E303" s="8" t="s">
        <v>82</v>
      </c>
      <c r="F303" s="13">
        <v>1E-3</v>
      </c>
      <c r="G303" s="12"/>
    </row>
    <row r="304" spans="1:7" x14ac:dyDescent="0.25">
      <c r="A304" s="7" t="s">
        <v>1153</v>
      </c>
      <c r="B304" s="7" t="s">
        <v>1218</v>
      </c>
      <c r="C304" s="7"/>
      <c r="D304" s="12" t="s">
        <v>1225</v>
      </c>
      <c r="E304" s="8" t="s">
        <v>82</v>
      </c>
      <c r="F304" s="13">
        <v>1E-3</v>
      </c>
      <c r="G304" s="12"/>
    </row>
    <row r="305" spans="1:7" x14ac:dyDescent="0.25">
      <c r="A305" s="7" t="s">
        <v>1153</v>
      </c>
      <c r="B305" s="7" t="s">
        <v>1218</v>
      </c>
      <c r="C305" s="7"/>
      <c r="D305" s="12" t="s">
        <v>1226</v>
      </c>
      <c r="E305" s="8" t="s">
        <v>82</v>
      </c>
      <c r="F305" s="13">
        <v>1E-3</v>
      </c>
      <c r="G305" s="12"/>
    </row>
    <row r="306" spans="1:7" x14ac:dyDescent="0.25">
      <c r="A306" s="7" t="s">
        <v>1153</v>
      </c>
      <c r="B306" s="7" t="s">
        <v>1218</v>
      </c>
      <c r="C306" s="7"/>
      <c r="D306" s="12" t="s">
        <v>1227</v>
      </c>
      <c r="E306" s="8" t="s">
        <v>82</v>
      </c>
      <c r="F306" s="13">
        <v>1E-3</v>
      </c>
      <c r="G306" s="12"/>
    </row>
    <row r="307" spans="1:7" x14ac:dyDescent="0.25">
      <c r="A307" s="7" t="s">
        <v>1153</v>
      </c>
      <c r="B307" s="7" t="s">
        <v>1218</v>
      </c>
      <c r="C307" s="7"/>
      <c r="D307" s="12" t="s">
        <v>1228</v>
      </c>
      <c r="E307" s="8" t="s">
        <v>82</v>
      </c>
      <c r="F307" s="13">
        <v>1E-3</v>
      </c>
      <c r="G307" s="12"/>
    </row>
    <row r="308" spans="1:7" x14ac:dyDescent="0.25">
      <c r="A308" s="7" t="s">
        <v>1153</v>
      </c>
      <c r="B308" s="7" t="s">
        <v>1218</v>
      </c>
      <c r="C308" s="7"/>
      <c r="D308" s="12" t="s">
        <v>1229</v>
      </c>
      <c r="E308" s="8" t="s">
        <v>82</v>
      </c>
      <c r="F308" s="13">
        <v>1E-3</v>
      </c>
      <c r="G308" s="12"/>
    </row>
    <row r="309" spans="1:7" x14ac:dyDescent="0.25">
      <c r="A309" s="7" t="s">
        <v>1153</v>
      </c>
      <c r="B309" s="7" t="s">
        <v>1218</v>
      </c>
      <c r="C309" s="7"/>
      <c r="D309" s="12" t="s">
        <v>1230</v>
      </c>
      <c r="E309" s="8" t="s">
        <v>82</v>
      </c>
      <c r="F309" s="13">
        <v>1E-3</v>
      </c>
      <c r="G309" s="12"/>
    </row>
    <row r="310" spans="1:7" x14ac:dyDescent="0.25">
      <c r="A310" s="7" t="s">
        <v>1153</v>
      </c>
      <c r="B310" s="7" t="s">
        <v>1218</v>
      </c>
      <c r="C310" s="7"/>
      <c r="D310" s="12" t="s">
        <v>1231</v>
      </c>
      <c r="E310" s="8" t="s">
        <v>82</v>
      </c>
      <c r="F310" s="13">
        <v>1E-3</v>
      </c>
      <c r="G310" s="12"/>
    </row>
    <row r="311" spans="1:7" x14ac:dyDescent="0.25">
      <c r="A311" s="7" t="s">
        <v>1153</v>
      </c>
      <c r="B311" s="7" t="s">
        <v>1218</v>
      </c>
      <c r="C311" s="7"/>
      <c r="D311" s="12" t="s">
        <v>1232</v>
      </c>
      <c r="E311" s="8" t="s">
        <v>82</v>
      </c>
      <c r="F311" s="13">
        <v>1E-3</v>
      </c>
      <c r="G311" s="12"/>
    </row>
    <row r="312" spans="1:7" x14ac:dyDescent="0.25">
      <c r="A312" s="7" t="s">
        <v>1153</v>
      </c>
      <c r="B312" s="7" t="s">
        <v>1218</v>
      </c>
      <c r="C312" s="7"/>
      <c r="D312" s="12" t="s">
        <v>1233</v>
      </c>
      <c r="E312" s="8" t="s">
        <v>82</v>
      </c>
      <c r="F312" s="13">
        <v>1E-3</v>
      </c>
      <c r="G312" s="12"/>
    </row>
    <row r="313" spans="1:7" x14ac:dyDescent="0.25">
      <c r="A313" s="7" t="s">
        <v>1153</v>
      </c>
      <c r="B313" s="7" t="s">
        <v>1218</v>
      </c>
      <c r="C313" s="7"/>
      <c r="D313" s="12" t="s">
        <v>1234</v>
      </c>
      <c r="E313" s="8" t="s">
        <v>82</v>
      </c>
      <c r="F313" s="13">
        <v>1E-3</v>
      </c>
      <c r="G313" s="12"/>
    </row>
    <row r="314" spans="1:7" x14ac:dyDescent="0.25">
      <c r="A314" s="7" t="s">
        <v>1153</v>
      </c>
      <c r="B314" s="7" t="s">
        <v>1218</v>
      </c>
      <c r="C314" s="7"/>
      <c r="D314" s="12" t="s">
        <v>1235</v>
      </c>
      <c r="E314" s="8" t="s">
        <v>82</v>
      </c>
      <c r="F314" s="13">
        <v>1E-3</v>
      </c>
      <c r="G314" s="12"/>
    </row>
    <row r="315" spans="1:7" x14ac:dyDescent="0.25">
      <c r="A315" s="7" t="s">
        <v>1153</v>
      </c>
      <c r="B315" s="7" t="s">
        <v>1218</v>
      </c>
      <c r="C315" s="7"/>
      <c r="D315" s="12" t="s">
        <v>1236</v>
      </c>
      <c r="E315" s="8" t="s">
        <v>82</v>
      </c>
      <c r="F315" s="13">
        <v>1E-3</v>
      </c>
      <c r="G315" s="12"/>
    </row>
    <row r="316" spans="1:7" ht="25.5" x14ac:dyDescent="0.25">
      <c r="A316" s="7" t="s">
        <v>1153</v>
      </c>
      <c r="B316" s="7" t="s">
        <v>1218</v>
      </c>
      <c r="C316" s="7"/>
      <c r="D316" s="12" t="s">
        <v>1237</v>
      </c>
      <c r="E316" s="8" t="s">
        <v>82</v>
      </c>
      <c r="F316" s="13">
        <v>1E-3</v>
      </c>
      <c r="G316" s="12"/>
    </row>
    <row r="317" spans="1:7" x14ac:dyDescent="0.25">
      <c r="A317" s="7" t="s">
        <v>1153</v>
      </c>
      <c r="B317" s="7" t="s">
        <v>1218</v>
      </c>
      <c r="C317" s="7"/>
      <c r="D317" s="12" t="s">
        <v>1238</v>
      </c>
      <c r="E317" s="8" t="s">
        <v>82</v>
      </c>
      <c r="F317" s="13">
        <v>1E-3</v>
      </c>
      <c r="G317" s="12"/>
    </row>
    <row r="318" spans="1:7" x14ac:dyDescent="0.25">
      <c r="A318" s="7" t="s">
        <v>1153</v>
      </c>
      <c r="B318" s="7" t="s">
        <v>1218</v>
      </c>
      <c r="C318" s="7"/>
      <c r="D318" s="12" t="s">
        <v>1239</v>
      </c>
      <c r="E318" s="8" t="s">
        <v>82</v>
      </c>
      <c r="F318" s="13">
        <v>1E-3</v>
      </c>
      <c r="G318" s="12"/>
    </row>
    <row r="319" spans="1:7" x14ac:dyDescent="0.25">
      <c r="A319" s="7" t="s">
        <v>1153</v>
      </c>
      <c r="B319" s="7" t="s">
        <v>1218</v>
      </c>
      <c r="C319" s="7"/>
      <c r="D319" s="12" t="s">
        <v>1240</v>
      </c>
      <c r="E319" s="8" t="s">
        <v>82</v>
      </c>
      <c r="F319" s="13">
        <v>1E-3</v>
      </c>
      <c r="G319" s="12"/>
    </row>
    <row r="320" spans="1:7" ht="25.5" x14ac:dyDescent="0.25">
      <c r="A320" s="7" t="s">
        <v>1153</v>
      </c>
      <c r="B320" s="7" t="s">
        <v>1218</v>
      </c>
      <c r="C320" s="7"/>
      <c r="D320" s="12" t="s">
        <v>1241</v>
      </c>
      <c r="E320" s="8" t="s">
        <v>82</v>
      </c>
      <c r="F320" s="13">
        <v>1E-3</v>
      </c>
      <c r="G320" s="12"/>
    </row>
    <row r="321" spans="1:7" x14ac:dyDescent="0.25">
      <c r="A321" s="7" t="s">
        <v>1153</v>
      </c>
      <c r="B321" s="7" t="s">
        <v>1218</v>
      </c>
      <c r="C321" s="7"/>
      <c r="D321" s="12" t="s">
        <v>1242</v>
      </c>
      <c r="E321" s="8" t="s">
        <v>82</v>
      </c>
      <c r="F321" s="13">
        <v>1E-3</v>
      </c>
      <c r="G321" s="12"/>
    </row>
    <row r="322" spans="1:7" x14ac:dyDescent="0.25">
      <c r="A322" s="7" t="s">
        <v>1153</v>
      </c>
      <c r="B322" s="7" t="s">
        <v>1218</v>
      </c>
      <c r="C322" s="7"/>
      <c r="D322" s="12" t="s">
        <v>1243</v>
      </c>
      <c r="E322" s="8" t="s">
        <v>82</v>
      </c>
      <c r="F322" s="13">
        <v>1E-3</v>
      </c>
      <c r="G322" s="12"/>
    </row>
    <row r="323" spans="1:7" ht="25.5" x14ac:dyDescent="0.25">
      <c r="A323" s="7" t="s">
        <v>1153</v>
      </c>
      <c r="B323" s="7" t="s">
        <v>1218</v>
      </c>
      <c r="C323" s="7"/>
      <c r="D323" s="12" t="s">
        <v>1244</v>
      </c>
      <c r="E323" s="8" t="s">
        <v>82</v>
      </c>
      <c r="F323" s="13">
        <v>1E-3</v>
      </c>
      <c r="G323" s="12"/>
    </row>
    <row r="324" spans="1:7" x14ac:dyDescent="0.25">
      <c r="A324" s="7" t="s">
        <v>1153</v>
      </c>
      <c r="B324" s="7" t="s">
        <v>1218</v>
      </c>
      <c r="C324" s="7"/>
      <c r="D324" s="12" t="s">
        <v>1245</v>
      </c>
      <c r="E324" s="8" t="s">
        <v>82</v>
      </c>
      <c r="F324" s="13">
        <v>1E-3</v>
      </c>
      <c r="G324" s="12"/>
    </row>
    <row r="325" spans="1:7" x14ac:dyDescent="0.25">
      <c r="A325" s="7" t="s">
        <v>1153</v>
      </c>
      <c r="B325" s="7" t="s">
        <v>1218</v>
      </c>
      <c r="C325" s="7"/>
      <c r="D325" s="12" t="s">
        <v>1246</v>
      </c>
      <c r="E325" s="8" t="s">
        <v>82</v>
      </c>
      <c r="F325" s="13">
        <v>1E-3</v>
      </c>
      <c r="G325" s="12"/>
    </row>
    <row r="326" spans="1:7" x14ac:dyDescent="0.25">
      <c r="A326" s="7" t="s">
        <v>1153</v>
      </c>
      <c r="B326" s="7" t="s">
        <v>1218</v>
      </c>
      <c r="C326" s="7"/>
      <c r="D326" s="12" t="s">
        <v>1247</v>
      </c>
      <c r="E326" s="8" t="s">
        <v>82</v>
      </c>
      <c r="F326" s="13">
        <v>1E-3</v>
      </c>
      <c r="G326" s="12"/>
    </row>
    <row r="327" spans="1:7" x14ac:dyDescent="0.25">
      <c r="A327" s="7" t="s">
        <v>1153</v>
      </c>
      <c r="B327" s="7" t="s">
        <v>1218</v>
      </c>
      <c r="C327" s="7"/>
      <c r="D327" s="12" t="s">
        <v>1248</v>
      </c>
      <c r="E327" s="8" t="s">
        <v>82</v>
      </c>
      <c r="F327" s="13">
        <v>1E-3</v>
      </c>
      <c r="G327" s="12"/>
    </row>
    <row r="328" spans="1:7" x14ac:dyDescent="0.25">
      <c r="A328" s="7" t="s">
        <v>1153</v>
      </c>
      <c r="B328" s="7" t="s">
        <v>1218</v>
      </c>
      <c r="C328" s="7"/>
      <c r="D328" s="12" t="s">
        <v>1249</v>
      </c>
      <c r="E328" s="8" t="s">
        <v>82</v>
      </c>
      <c r="F328" s="13">
        <v>1.0999999999999999E-2</v>
      </c>
      <c r="G328" s="12"/>
    </row>
    <row r="329" spans="1:7" x14ac:dyDescent="0.25">
      <c r="A329" s="7" t="s">
        <v>1153</v>
      </c>
      <c r="B329" s="7" t="s">
        <v>1218</v>
      </c>
      <c r="C329" s="7"/>
      <c r="D329" s="12" t="s">
        <v>1250</v>
      </c>
      <c r="E329" s="8" t="s">
        <v>82</v>
      </c>
      <c r="F329" s="13">
        <v>1.0999999999999999E-2</v>
      </c>
      <c r="G329" s="12"/>
    </row>
    <row r="330" spans="1:7" x14ac:dyDescent="0.25">
      <c r="A330" s="7" t="s">
        <v>1153</v>
      </c>
      <c r="B330" s="7" t="s">
        <v>1218</v>
      </c>
      <c r="C330" s="7"/>
      <c r="D330" s="12" t="s">
        <v>1251</v>
      </c>
      <c r="E330" s="8" t="s">
        <v>82</v>
      </c>
      <c r="F330" s="13">
        <v>8.9999999999999993E-3</v>
      </c>
      <c r="G330" s="12"/>
    </row>
    <row r="331" spans="1:7" x14ac:dyDescent="0.25">
      <c r="A331" s="7" t="s">
        <v>1153</v>
      </c>
      <c r="B331" s="7" t="s">
        <v>1218</v>
      </c>
      <c r="C331" s="7"/>
      <c r="D331" s="12" t="s">
        <v>1252</v>
      </c>
      <c r="E331" s="8" t="s">
        <v>82</v>
      </c>
      <c r="F331" s="13">
        <v>1.2E-2</v>
      </c>
      <c r="G331" s="12"/>
    </row>
    <row r="332" spans="1:7" x14ac:dyDescent="0.25">
      <c r="A332" s="7" t="s">
        <v>1153</v>
      </c>
      <c r="B332" s="7" t="s">
        <v>1218</v>
      </c>
      <c r="C332" s="7"/>
      <c r="D332" s="12" t="s">
        <v>1253</v>
      </c>
      <c r="E332" s="8" t="s">
        <v>82</v>
      </c>
      <c r="F332" s="13">
        <v>1E-3</v>
      </c>
      <c r="G332" s="12"/>
    </row>
    <row r="333" spans="1:7" x14ac:dyDescent="0.25">
      <c r="A333" s="7" t="s">
        <v>1153</v>
      </c>
      <c r="B333" s="7" t="s">
        <v>1218</v>
      </c>
      <c r="C333" s="7"/>
      <c r="D333" s="12" t="s">
        <v>1254</v>
      </c>
      <c r="E333" s="8" t="s">
        <v>82</v>
      </c>
      <c r="F333" s="13">
        <v>1E-3</v>
      </c>
      <c r="G333" s="12"/>
    </row>
    <row r="334" spans="1:7" x14ac:dyDescent="0.25">
      <c r="A334" s="7" t="s">
        <v>1153</v>
      </c>
      <c r="B334" s="7" t="s">
        <v>1218</v>
      </c>
      <c r="C334" s="7"/>
      <c r="D334" s="12" t="s">
        <v>1255</v>
      </c>
      <c r="E334" s="8" t="s">
        <v>82</v>
      </c>
      <c r="F334" s="13">
        <v>1E-3</v>
      </c>
      <c r="G334" s="12"/>
    </row>
    <row r="335" spans="1:7" x14ac:dyDescent="0.25">
      <c r="A335" s="7" t="s">
        <v>1153</v>
      </c>
      <c r="B335" s="7" t="s">
        <v>1218</v>
      </c>
      <c r="C335" s="7"/>
      <c r="D335" s="12" t="s">
        <v>1256</v>
      </c>
      <c r="E335" s="8" t="s">
        <v>82</v>
      </c>
      <c r="F335" s="13">
        <v>8.9999999999999993E-3</v>
      </c>
      <c r="G335" s="12"/>
    </row>
    <row r="336" spans="1:7" x14ac:dyDescent="0.25">
      <c r="A336" s="7" t="s">
        <v>1153</v>
      </c>
      <c r="B336" s="7" t="s">
        <v>1218</v>
      </c>
      <c r="C336" s="7"/>
      <c r="D336" s="12" t="s">
        <v>1257</v>
      </c>
      <c r="E336" s="8" t="s">
        <v>82</v>
      </c>
      <c r="F336" s="13">
        <v>2.1000000000000001E-2</v>
      </c>
      <c r="G336" s="12"/>
    </row>
    <row r="337" spans="1:7" x14ac:dyDescent="0.25">
      <c r="A337" s="7" t="s">
        <v>1258</v>
      </c>
      <c r="B337" s="7" t="s">
        <v>1259</v>
      </c>
      <c r="C337" s="7"/>
      <c r="D337" s="12" t="s">
        <v>1260</v>
      </c>
      <c r="E337" s="8" t="s">
        <v>82</v>
      </c>
      <c r="F337" s="13">
        <v>2E-3</v>
      </c>
      <c r="G337" s="12"/>
    </row>
    <row r="338" spans="1:7" x14ac:dyDescent="0.25">
      <c r="A338" s="7" t="s">
        <v>1258</v>
      </c>
      <c r="B338" s="7" t="s">
        <v>1259</v>
      </c>
      <c r="C338" s="7"/>
      <c r="D338" s="12" t="s">
        <v>1261</v>
      </c>
      <c r="E338" s="8" t="s">
        <v>82</v>
      </c>
      <c r="F338" s="13">
        <v>1E-3</v>
      </c>
      <c r="G338" s="12"/>
    </row>
    <row r="339" spans="1:7" x14ac:dyDescent="0.25">
      <c r="A339" s="7" t="s">
        <v>1258</v>
      </c>
      <c r="B339" s="7" t="s">
        <v>1259</v>
      </c>
      <c r="C339" s="7"/>
      <c r="D339" s="12" t="s">
        <v>1262</v>
      </c>
      <c r="E339" s="8" t="s">
        <v>82</v>
      </c>
      <c r="F339" s="13">
        <v>2E-3</v>
      </c>
      <c r="G339" s="12"/>
    </row>
    <row r="340" spans="1:7" x14ac:dyDescent="0.25">
      <c r="A340" s="7" t="s">
        <v>1258</v>
      </c>
      <c r="B340" s="7" t="s">
        <v>1259</v>
      </c>
      <c r="C340" s="7"/>
      <c r="D340" s="12" t="s">
        <v>1263</v>
      </c>
      <c r="E340" s="8" t="s">
        <v>82</v>
      </c>
      <c r="F340" s="13">
        <v>2E-3</v>
      </c>
      <c r="G340" s="12"/>
    </row>
    <row r="341" spans="1:7" x14ac:dyDescent="0.25">
      <c r="A341" s="7" t="s">
        <v>1258</v>
      </c>
      <c r="B341" s="7" t="s">
        <v>1259</v>
      </c>
      <c r="C341" s="7"/>
      <c r="D341" s="12" t="s">
        <v>1264</v>
      </c>
      <c r="E341" s="8" t="s">
        <v>82</v>
      </c>
      <c r="F341" s="13">
        <v>1E-3</v>
      </c>
      <c r="G341" s="12"/>
    </row>
    <row r="342" spans="1:7" x14ac:dyDescent="0.25">
      <c r="A342" s="7" t="s">
        <v>1258</v>
      </c>
      <c r="B342" s="7" t="s">
        <v>1259</v>
      </c>
      <c r="C342" s="7"/>
      <c r="D342" s="12" t="s">
        <v>1265</v>
      </c>
      <c r="E342" s="8" t="s">
        <v>82</v>
      </c>
      <c r="F342" s="13">
        <v>1E-3</v>
      </c>
      <c r="G342" s="12"/>
    </row>
    <row r="343" spans="1:7" x14ac:dyDescent="0.25">
      <c r="A343" s="7" t="s">
        <v>1258</v>
      </c>
      <c r="B343" s="7" t="s">
        <v>1259</v>
      </c>
      <c r="C343" s="7"/>
      <c r="D343" s="12" t="s">
        <v>1266</v>
      </c>
      <c r="E343" s="8" t="s">
        <v>82</v>
      </c>
      <c r="F343" s="13">
        <v>1E-3</v>
      </c>
      <c r="G343" s="12"/>
    </row>
    <row r="344" spans="1:7" x14ac:dyDescent="0.25">
      <c r="A344" s="7" t="s">
        <v>1258</v>
      </c>
      <c r="B344" s="7" t="s">
        <v>1259</v>
      </c>
      <c r="C344" s="7"/>
      <c r="D344" s="12" t="s">
        <v>1267</v>
      </c>
      <c r="E344" s="8" t="s">
        <v>82</v>
      </c>
      <c r="F344" s="13">
        <v>1E-3</v>
      </c>
      <c r="G344" s="12"/>
    </row>
    <row r="345" spans="1:7" x14ac:dyDescent="0.25">
      <c r="A345" s="7" t="s">
        <v>1258</v>
      </c>
      <c r="B345" s="7" t="s">
        <v>1268</v>
      </c>
      <c r="C345" s="7"/>
      <c r="D345" s="12" t="s">
        <v>1269</v>
      </c>
      <c r="E345" s="8" t="s">
        <v>82</v>
      </c>
      <c r="F345" s="13">
        <v>1E-3</v>
      </c>
      <c r="G345" s="12"/>
    </row>
    <row r="346" spans="1:7" x14ac:dyDescent="0.25">
      <c r="A346" s="7" t="s">
        <v>1258</v>
      </c>
      <c r="B346" s="7" t="s">
        <v>1268</v>
      </c>
      <c r="C346" s="7"/>
      <c r="D346" s="12" t="s">
        <v>1270</v>
      </c>
      <c r="E346" s="8" t="s">
        <v>82</v>
      </c>
      <c r="F346" s="13">
        <v>1E-3</v>
      </c>
      <c r="G346" s="12"/>
    </row>
    <row r="347" spans="1:7" x14ac:dyDescent="0.25">
      <c r="A347" s="7" t="s">
        <v>1258</v>
      </c>
      <c r="B347" s="7" t="s">
        <v>1268</v>
      </c>
      <c r="C347" s="7"/>
      <c r="D347" s="12" t="s">
        <v>1271</v>
      </c>
      <c r="E347" s="8" t="s">
        <v>82</v>
      </c>
      <c r="F347" s="13">
        <v>1E-3</v>
      </c>
      <c r="G347" s="12"/>
    </row>
    <row r="348" spans="1:7" x14ac:dyDescent="0.25">
      <c r="A348" s="7" t="s">
        <v>1258</v>
      </c>
      <c r="B348" s="7" t="s">
        <v>1268</v>
      </c>
      <c r="C348" s="7"/>
      <c r="D348" s="12" t="s">
        <v>1272</v>
      </c>
      <c r="E348" s="8" t="s">
        <v>82</v>
      </c>
      <c r="F348" s="13">
        <v>1E-3</v>
      </c>
      <c r="G348" s="12"/>
    </row>
    <row r="349" spans="1:7" x14ac:dyDescent="0.25">
      <c r="A349" s="7" t="s">
        <v>1258</v>
      </c>
      <c r="B349" s="7" t="s">
        <v>1268</v>
      </c>
      <c r="C349" s="7"/>
      <c r="D349" s="12" t="s">
        <v>1273</v>
      </c>
      <c r="E349" s="8" t="s">
        <v>82</v>
      </c>
      <c r="F349" s="13">
        <v>1E-3</v>
      </c>
      <c r="G349" s="12"/>
    </row>
    <row r="350" spans="1:7" x14ac:dyDescent="0.25">
      <c r="A350" s="7" t="s">
        <v>1258</v>
      </c>
      <c r="B350" s="7" t="s">
        <v>1268</v>
      </c>
      <c r="C350" s="7"/>
      <c r="D350" s="12" t="s">
        <v>1274</v>
      </c>
      <c r="E350" s="8" t="s">
        <v>82</v>
      </c>
      <c r="F350" s="13">
        <v>1E-3</v>
      </c>
      <c r="G350" s="12"/>
    </row>
    <row r="351" spans="1:7" x14ac:dyDescent="0.25">
      <c r="A351" s="7" t="s">
        <v>1258</v>
      </c>
      <c r="B351" s="7" t="s">
        <v>1268</v>
      </c>
      <c r="C351" s="7"/>
      <c r="D351" s="12" t="s">
        <v>1275</v>
      </c>
      <c r="E351" s="8" t="s">
        <v>82</v>
      </c>
      <c r="F351" s="13">
        <v>1E-3</v>
      </c>
      <c r="G351" s="12"/>
    </row>
    <row r="352" spans="1:7" x14ac:dyDescent="0.25">
      <c r="A352" s="7" t="s">
        <v>1258</v>
      </c>
      <c r="B352" s="7" t="s">
        <v>1268</v>
      </c>
      <c r="C352" s="7"/>
      <c r="D352" s="12" t="s">
        <v>1276</v>
      </c>
      <c r="E352" s="8" t="s">
        <v>82</v>
      </c>
      <c r="F352" s="13">
        <v>1E-3</v>
      </c>
      <c r="G352" s="12"/>
    </row>
    <row r="353" spans="1:7" x14ac:dyDescent="0.25">
      <c r="A353" s="7" t="s">
        <v>1258</v>
      </c>
      <c r="B353" s="7" t="s">
        <v>1268</v>
      </c>
      <c r="C353" s="7"/>
      <c r="D353" s="12" t="s">
        <v>1277</v>
      </c>
      <c r="E353" s="8" t="s">
        <v>82</v>
      </c>
      <c r="F353" s="13">
        <v>1E-3</v>
      </c>
      <c r="G353" s="12"/>
    </row>
    <row r="354" spans="1:7" x14ac:dyDescent="0.25">
      <c r="A354" s="7" t="s">
        <v>1258</v>
      </c>
      <c r="B354" s="7" t="s">
        <v>1268</v>
      </c>
      <c r="C354" s="7"/>
      <c r="D354" s="12" t="s">
        <v>1278</v>
      </c>
      <c r="E354" s="8" t="s">
        <v>82</v>
      </c>
      <c r="F354" s="13">
        <v>1E-3</v>
      </c>
      <c r="G354" s="12"/>
    </row>
    <row r="355" spans="1:7" x14ac:dyDescent="0.25">
      <c r="A355" s="7" t="s">
        <v>1258</v>
      </c>
      <c r="B355" s="7" t="s">
        <v>1268</v>
      </c>
      <c r="C355" s="7"/>
      <c r="D355" s="12" t="s">
        <v>1279</v>
      </c>
      <c r="E355" s="8" t="s">
        <v>82</v>
      </c>
      <c r="F355" s="13">
        <v>1E-3</v>
      </c>
      <c r="G355" s="12"/>
    </row>
    <row r="356" spans="1:7" x14ac:dyDescent="0.25">
      <c r="A356" s="7" t="s">
        <v>1258</v>
      </c>
      <c r="B356" s="7" t="s">
        <v>1268</v>
      </c>
      <c r="C356" s="7"/>
      <c r="D356" s="12" t="s">
        <v>1280</v>
      </c>
      <c r="E356" s="8" t="s">
        <v>82</v>
      </c>
      <c r="F356" s="13">
        <v>1E-3</v>
      </c>
      <c r="G356" s="12"/>
    </row>
    <row r="357" spans="1:7" x14ac:dyDescent="0.25">
      <c r="A357" s="7" t="s">
        <v>1258</v>
      </c>
      <c r="B357" s="7" t="s">
        <v>1268</v>
      </c>
      <c r="C357" s="7"/>
      <c r="D357" s="12" t="s">
        <v>1281</v>
      </c>
      <c r="E357" s="8" t="s">
        <v>82</v>
      </c>
      <c r="F357" s="13">
        <v>1E-3</v>
      </c>
      <c r="G357" s="12"/>
    </row>
    <row r="358" spans="1:7" x14ac:dyDescent="0.25">
      <c r="A358" s="7" t="s">
        <v>1258</v>
      </c>
      <c r="B358" s="7" t="s">
        <v>1268</v>
      </c>
      <c r="C358" s="7"/>
      <c r="D358" s="12" t="s">
        <v>1282</v>
      </c>
      <c r="E358" s="8" t="s">
        <v>82</v>
      </c>
      <c r="F358" s="13">
        <v>1E-3</v>
      </c>
      <c r="G358" s="12"/>
    </row>
    <row r="359" spans="1:7" x14ac:dyDescent="0.25">
      <c r="A359" s="7" t="s">
        <v>1258</v>
      </c>
      <c r="B359" s="7" t="s">
        <v>1268</v>
      </c>
      <c r="C359" s="7"/>
      <c r="D359" s="12" t="s">
        <v>1283</v>
      </c>
      <c r="E359" s="8" t="s">
        <v>82</v>
      </c>
      <c r="F359" s="13">
        <v>1E-3</v>
      </c>
      <c r="G359" s="12"/>
    </row>
    <row r="360" spans="1:7" x14ac:dyDescent="0.25">
      <c r="A360" s="7" t="s">
        <v>1258</v>
      </c>
      <c r="B360" s="7" t="s">
        <v>1284</v>
      </c>
      <c r="C360" s="7"/>
      <c r="D360" s="12" t="s">
        <v>1285</v>
      </c>
      <c r="E360" s="8" t="s">
        <v>82</v>
      </c>
      <c r="F360" s="13">
        <v>1E-3</v>
      </c>
      <c r="G360" s="12"/>
    </row>
    <row r="361" spans="1:7" x14ac:dyDescent="0.25">
      <c r="A361" s="7" t="s">
        <v>1258</v>
      </c>
      <c r="B361" s="7" t="s">
        <v>1284</v>
      </c>
      <c r="C361" s="7"/>
      <c r="D361" s="12" t="s">
        <v>1286</v>
      </c>
      <c r="E361" s="8" t="s">
        <v>82</v>
      </c>
      <c r="F361" s="13">
        <v>1E-3</v>
      </c>
      <c r="G361" s="12"/>
    </row>
    <row r="362" spans="1:7" x14ac:dyDescent="0.25">
      <c r="A362" s="7" t="s">
        <v>1258</v>
      </c>
      <c r="B362" s="7" t="s">
        <v>1284</v>
      </c>
      <c r="C362" s="7"/>
      <c r="D362" s="12" t="s">
        <v>1287</v>
      </c>
      <c r="E362" s="8" t="s">
        <v>82</v>
      </c>
      <c r="F362" s="13">
        <v>1E-3</v>
      </c>
      <c r="G362" s="12"/>
    </row>
    <row r="363" spans="1:7" x14ac:dyDescent="0.25">
      <c r="A363" s="7" t="s">
        <v>1258</v>
      </c>
      <c r="B363" s="7" t="s">
        <v>1284</v>
      </c>
      <c r="C363" s="7"/>
      <c r="D363" s="12" t="s">
        <v>1288</v>
      </c>
      <c r="E363" s="8" t="s">
        <v>82</v>
      </c>
      <c r="F363" s="13">
        <v>1E-3</v>
      </c>
      <c r="G363" s="12"/>
    </row>
    <row r="364" spans="1:7" x14ac:dyDescent="0.25">
      <c r="A364" s="7" t="s">
        <v>1258</v>
      </c>
      <c r="B364" s="7" t="s">
        <v>1284</v>
      </c>
      <c r="C364" s="7"/>
      <c r="D364" s="12" t="s">
        <v>1289</v>
      </c>
      <c r="E364" s="8" t="s">
        <v>82</v>
      </c>
      <c r="F364" s="13">
        <v>1E-3</v>
      </c>
      <c r="G364" s="12"/>
    </row>
    <row r="365" spans="1:7" x14ac:dyDescent="0.25">
      <c r="A365" s="7" t="s">
        <v>1258</v>
      </c>
      <c r="B365" s="7" t="s">
        <v>1284</v>
      </c>
      <c r="C365" s="7"/>
      <c r="D365" s="12" t="s">
        <v>1290</v>
      </c>
      <c r="E365" s="8" t="s">
        <v>82</v>
      </c>
      <c r="F365" s="13">
        <v>1E-3</v>
      </c>
      <c r="G365" s="12"/>
    </row>
    <row r="366" spans="1:7" ht="25.5" x14ac:dyDescent="0.25">
      <c r="A366" s="7" t="s">
        <v>1258</v>
      </c>
      <c r="B366" s="7" t="s">
        <v>1284</v>
      </c>
      <c r="C366" s="7"/>
      <c r="D366" s="12" t="s">
        <v>1291</v>
      </c>
      <c r="E366" s="8" t="s">
        <v>82</v>
      </c>
      <c r="F366" s="13">
        <v>1E-3</v>
      </c>
      <c r="G366" s="12"/>
    </row>
    <row r="367" spans="1:7" x14ac:dyDescent="0.25">
      <c r="A367" s="7" t="s">
        <v>1258</v>
      </c>
      <c r="B367" s="7" t="s">
        <v>1284</v>
      </c>
      <c r="C367" s="7"/>
      <c r="D367" s="12" t="s">
        <v>1292</v>
      </c>
      <c r="E367" s="8" t="s">
        <v>82</v>
      </c>
      <c r="F367" s="13">
        <v>1E-3</v>
      </c>
      <c r="G367" s="12"/>
    </row>
    <row r="368" spans="1:7" x14ac:dyDescent="0.25">
      <c r="A368" s="7" t="s">
        <v>1258</v>
      </c>
      <c r="B368" s="7" t="s">
        <v>1284</v>
      </c>
      <c r="C368" s="7"/>
      <c r="D368" s="12" t="s">
        <v>1293</v>
      </c>
      <c r="E368" s="8" t="s">
        <v>82</v>
      </c>
      <c r="F368" s="13">
        <v>1E-3</v>
      </c>
      <c r="G368" s="12"/>
    </row>
    <row r="369" spans="1:7" x14ac:dyDescent="0.25">
      <c r="A369" s="7" t="s">
        <v>1258</v>
      </c>
      <c r="B369" s="7" t="s">
        <v>1284</v>
      </c>
      <c r="C369" s="7"/>
      <c r="D369" s="12" t="s">
        <v>1294</v>
      </c>
      <c r="E369" s="8" t="s">
        <v>82</v>
      </c>
      <c r="F369" s="13">
        <v>1E-3</v>
      </c>
      <c r="G369" s="12"/>
    </row>
    <row r="370" spans="1:7" x14ac:dyDescent="0.25">
      <c r="A370" s="7" t="s">
        <v>1258</v>
      </c>
      <c r="B370" s="7" t="s">
        <v>1284</v>
      </c>
      <c r="C370" s="7"/>
      <c r="D370" s="12" t="s">
        <v>1295</v>
      </c>
      <c r="E370" s="8" t="s">
        <v>82</v>
      </c>
      <c r="F370" s="13">
        <v>1E-3</v>
      </c>
      <c r="G370" s="12"/>
    </row>
    <row r="371" spans="1:7" x14ac:dyDescent="0.25">
      <c r="A371" s="7" t="s">
        <v>1296</v>
      </c>
      <c r="B371" s="7" t="s">
        <v>1297</v>
      </c>
      <c r="C371" s="7"/>
      <c r="D371" s="12" t="s">
        <v>1298</v>
      </c>
      <c r="E371" s="8" t="s">
        <v>82</v>
      </c>
      <c r="F371" s="13">
        <v>1E-3</v>
      </c>
      <c r="G371" s="12"/>
    </row>
    <row r="372" spans="1:7" x14ac:dyDescent="0.25">
      <c r="A372" s="7" t="s">
        <v>1296</v>
      </c>
      <c r="B372" s="7" t="s">
        <v>1297</v>
      </c>
      <c r="C372" s="7"/>
      <c r="D372" s="12" t="s">
        <v>1299</v>
      </c>
      <c r="E372" s="8" t="s">
        <v>82</v>
      </c>
      <c r="F372" s="13">
        <v>1E-3</v>
      </c>
      <c r="G372" s="12"/>
    </row>
    <row r="373" spans="1:7" x14ac:dyDescent="0.25">
      <c r="A373" s="7" t="s">
        <v>1296</v>
      </c>
      <c r="B373" s="7" t="s">
        <v>1297</v>
      </c>
      <c r="C373" s="7"/>
      <c r="D373" s="12" t="s">
        <v>1300</v>
      </c>
      <c r="E373" s="8" t="s">
        <v>82</v>
      </c>
      <c r="F373" s="13">
        <v>1E-3</v>
      </c>
      <c r="G373" s="12"/>
    </row>
    <row r="374" spans="1:7" x14ac:dyDescent="0.25">
      <c r="A374" s="7" t="s">
        <v>1296</v>
      </c>
      <c r="B374" s="7" t="s">
        <v>1297</v>
      </c>
      <c r="C374" s="7"/>
      <c r="D374" s="12" t="s">
        <v>1301</v>
      </c>
      <c r="E374" s="8" t="s">
        <v>82</v>
      </c>
      <c r="F374" s="13">
        <v>1E-3</v>
      </c>
      <c r="G374" s="12"/>
    </row>
    <row r="375" spans="1:7" x14ac:dyDescent="0.25">
      <c r="A375" s="7" t="s">
        <v>1296</v>
      </c>
      <c r="B375" s="7" t="s">
        <v>1297</v>
      </c>
      <c r="C375" s="7"/>
      <c r="D375" s="12" t="s">
        <v>1302</v>
      </c>
      <c r="E375" s="8" t="s">
        <v>82</v>
      </c>
      <c r="F375" s="13">
        <v>1E-3</v>
      </c>
      <c r="G375" s="12"/>
    </row>
    <row r="376" spans="1:7" x14ac:dyDescent="0.25">
      <c r="A376" s="7" t="s">
        <v>1296</v>
      </c>
      <c r="B376" s="7" t="s">
        <v>1297</v>
      </c>
      <c r="C376" s="7"/>
      <c r="D376" s="12" t="s">
        <v>1303</v>
      </c>
      <c r="E376" s="8" t="s">
        <v>82</v>
      </c>
      <c r="F376" s="13">
        <v>1E-3</v>
      </c>
      <c r="G376" s="12"/>
    </row>
    <row r="377" spans="1:7" x14ac:dyDescent="0.25">
      <c r="A377" s="7" t="s">
        <v>1296</v>
      </c>
      <c r="B377" s="7" t="s">
        <v>1297</v>
      </c>
      <c r="C377" s="7"/>
      <c r="D377" s="12" t="s">
        <v>1304</v>
      </c>
      <c r="E377" s="8" t="s">
        <v>82</v>
      </c>
      <c r="F377" s="13">
        <v>1E-3</v>
      </c>
      <c r="G377" s="12"/>
    </row>
    <row r="378" spans="1:7" x14ac:dyDescent="0.25">
      <c r="A378" s="7" t="s">
        <v>1296</v>
      </c>
      <c r="B378" s="7" t="s">
        <v>1297</v>
      </c>
      <c r="C378" s="7"/>
      <c r="D378" s="12" t="s">
        <v>1305</v>
      </c>
      <c r="E378" s="8" t="s">
        <v>82</v>
      </c>
      <c r="F378" s="13">
        <v>1E-3</v>
      </c>
      <c r="G378" s="12"/>
    </row>
    <row r="379" spans="1:7" x14ac:dyDescent="0.25">
      <c r="A379" s="7" t="s">
        <v>1296</v>
      </c>
      <c r="B379" s="7" t="s">
        <v>1297</v>
      </c>
      <c r="C379" s="7"/>
      <c r="D379" s="12" t="s">
        <v>1306</v>
      </c>
      <c r="E379" s="8" t="s">
        <v>82</v>
      </c>
      <c r="F379" s="13">
        <v>1E-3</v>
      </c>
      <c r="G379" s="12"/>
    </row>
    <row r="380" spans="1:7" x14ac:dyDescent="0.25">
      <c r="A380" s="7" t="s">
        <v>1296</v>
      </c>
      <c r="B380" s="7" t="s">
        <v>1307</v>
      </c>
      <c r="C380" s="7"/>
      <c r="D380" s="12" t="s">
        <v>1308</v>
      </c>
      <c r="E380" s="8" t="s">
        <v>82</v>
      </c>
      <c r="F380" s="13">
        <v>1E-3</v>
      </c>
      <c r="G380" s="12"/>
    </row>
    <row r="381" spans="1:7" x14ac:dyDescent="0.25">
      <c r="A381" s="7" t="s">
        <v>1296</v>
      </c>
      <c r="B381" s="7" t="s">
        <v>1307</v>
      </c>
      <c r="C381" s="7"/>
      <c r="D381" s="12" t="s">
        <v>1309</v>
      </c>
      <c r="E381" s="8" t="s">
        <v>82</v>
      </c>
      <c r="F381" s="13">
        <v>1E-3</v>
      </c>
      <c r="G381" s="12"/>
    </row>
    <row r="382" spans="1:7" x14ac:dyDescent="0.25">
      <c r="A382" s="7" t="s">
        <v>1296</v>
      </c>
      <c r="B382" s="7" t="s">
        <v>1307</v>
      </c>
      <c r="C382" s="7"/>
      <c r="D382" s="12" t="s">
        <v>1310</v>
      </c>
      <c r="E382" s="8" t="s">
        <v>82</v>
      </c>
      <c r="F382" s="13">
        <v>1E-3</v>
      </c>
      <c r="G382" s="12"/>
    </row>
    <row r="383" spans="1:7" x14ac:dyDescent="0.25">
      <c r="A383" s="7" t="s">
        <v>1296</v>
      </c>
      <c r="B383" s="7" t="s">
        <v>1307</v>
      </c>
      <c r="C383" s="7"/>
      <c r="D383" s="12" t="s">
        <v>1311</v>
      </c>
      <c r="E383" s="8" t="s">
        <v>82</v>
      </c>
      <c r="F383" s="13">
        <v>1E-3</v>
      </c>
      <c r="G383" s="12"/>
    </row>
    <row r="384" spans="1:7" x14ac:dyDescent="0.25">
      <c r="A384" s="7" t="s">
        <v>1296</v>
      </c>
      <c r="B384" s="7" t="s">
        <v>1307</v>
      </c>
      <c r="C384" s="7"/>
      <c r="D384" s="12" t="s">
        <v>1312</v>
      </c>
      <c r="E384" s="8" t="s">
        <v>82</v>
      </c>
      <c r="F384" s="13">
        <v>1E-3</v>
      </c>
      <c r="G384" s="12"/>
    </row>
    <row r="385" spans="1:7" x14ac:dyDescent="0.25">
      <c r="A385" s="7" t="s">
        <v>1296</v>
      </c>
      <c r="B385" s="7" t="s">
        <v>1307</v>
      </c>
      <c r="C385" s="7"/>
      <c r="D385" s="12" t="s">
        <v>1313</v>
      </c>
      <c r="E385" s="8" t="s">
        <v>82</v>
      </c>
      <c r="F385" s="13">
        <v>1E-3</v>
      </c>
      <c r="G385" s="12"/>
    </row>
    <row r="386" spans="1:7" x14ac:dyDescent="0.25">
      <c r="A386" s="7" t="s">
        <v>1296</v>
      </c>
      <c r="B386" s="7" t="s">
        <v>1307</v>
      </c>
      <c r="C386" s="7"/>
      <c r="D386" s="12" t="s">
        <v>1314</v>
      </c>
      <c r="E386" s="8" t="s">
        <v>82</v>
      </c>
      <c r="F386" s="13">
        <v>1E-3</v>
      </c>
      <c r="G386" s="12"/>
    </row>
    <row r="387" spans="1:7" x14ac:dyDescent="0.25">
      <c r="A387" s="7" t="s">
        <v>1296</v>
      </c>
      <c r="B387" s="7" t="s">
        <v>1307</v>
      </c>
      <c r="C387" s="7"/>
      <c r="D387" s="12" t="s">
        <v>1315</v>
      </c>
      <c r="E387" s="8" t="s">
        <v>82</v>
      </c>
      <c r="F387" s="13">
        <v>7.0000000000000001E-3</v>
      </c>
      <c r="G387" s="12"/>
    </row>
    <row r="388" spans="1:7" x14ac:dyDescent="0.25">
      <c r="A388" s="7" t="s">
        <v>1296</v>
      </c>
      <c r="B388" s="7" t="s">
        <v>1307</v>
      </c>
      <c r="C388" s="7"/>
      <c r="D388" s="12" t="s">
        <v>1316</v>
      </c>
      <c r="E388" s="8" t="s">
        <v>82</v>
      </c>
      <c r="F388" s="13">
        <v>1E-3</v>
      </c>
      <c r="G388" s="12"/>
    </row>
    <row r="389" spans="1:7" x14ac:dyDescent="0.25">
      <c r="A389" s="7" t="s">
        <v>1296</v>
      </c>
      <c r="B389" s="7" t="s">
        <v>1317</v>
      </c>
      <c r="C389" s="7"/>
      <c r="D389" s="12" t="s">
        <v>1318</v>
      </c>
      <c r="E389" s="8" t="s">
        <v>82</v>
      </c>
      <c r="F389" s="13">
        <v>1E-3</v>
      </c>
      <c r="G389" s="12"/>
    </row>
    <row r="390" spans="1:7" x14ac:dyDescent="0.25">
      <c r="A390" s="7" t="s">
        <v>1296</v>
      </c>
      <c r="B390" s="7" t="s">
        <v>1317</v>
      </c>
      <c r="C390" s="7"/>
      <c r="D390" s="12" t="s">
        <v>1319</v>
      </c>
      <c r="E390" s="8" t="s">
        <v>82</v>
      </c>
      <c r="F390" s="13">
        <v>1E-3</v>
      </c>
      <c r="G390" s="12"/>
    </row>
    <row r="391" spans="1:7" ht="25.5" x14ac:dyDescent="0.25">
      <c r="A391" s="7" t="s">
        <v>1296</v>
      </c>
      <c r="B391" s="7" t="s">
        <v>1317</v>
      </c>
      <c r="C391" s="7"/>
      <c r="D391" s="12" t="s">
        <v>1320</v>
      </c>
      <c r="E391" s="8" t="s">
        <v>82</v>
      </c>
      <c r="F391" s="13">
        <v>1E-3</v>
      </c>
      <c r="G391" s="12"/>
    </row>
    <row r="392" spans="1:7" ht="25.5" x14ac:dyDescent="0.25">
      <c r="A392" s="7" t="s">
        <v>1296</v>
      </c>
      <c r="B392" s="7" t="s">
        <v>1317</v>
      </c>
      <c r="C392" s="7"/>
      <c r="D392" s="12" t="s">
        <v>1321</v>
      </c>
      <c r="E392" s="8" t="s">
        <v>82</v>
      </c>
      <c r="F392" s="13">
        <v>1E-3</v>
      </c>
      <c r="G392" s="12"/>
    </row>
    <row r="393" spans="1:7" ht="25.5" x14ac:dyDescent="0.25">
      <c r="A393" s="7" t="s">
        <v>1296</v>
      </c>
      <c r="B393" s="7" t="s">
        <v>1317</v>
      </c>
      <c r="C393" s="7"/>
      <c r="D393" s="12" t="s">
        <v>1322</v>
      </c>
      <c r="E393" s="8" t="s">
        <v>82</v>
      </c>
      <c r="F393" s="13">
        <v>1E-3</v>
      </c>
      <c r="G393" s="12"/>
    </row>
    <row r="394" spans="1:7" ht="38.25" x14ac:dyDescent="0.25">
      <c r="A394" s="7" t="s">
        <v>1296</v>
      </c>
      <c r="B394" s="7" t="s">
        <v>1317</v>
      </c>
      <c r="C394" s="7"/>
      <c r="D394" s="12" t="s">
        <v>1323</v>
      </c>
      <c r="E394" s="8" t="s">
        <v>82</v>
      </c>
      <c r="F394" s="13">
        <v>2E-3</v>
      </c>
      <c r="G394" s="12"/>
    </row>
    <row r="395" spans="1:7" ht="25.5" x14ac:dyDescent="0.25">
      <c r="A395" s="7" t="s">
        <v>1296</v>
      </c>
      <c r="B395" s="7" t="s">
        <v>1317</v>
      </c>
      <c r="C395" s="7"/>
      <c r="D395" s="12" t="s">
        <v>1324</v>
      </c>
      <c r="E395" s="8" t="s">
        <v>82</v>
      </c>
      <c r="F395" s="13">
        <v>1E-3</v>
      </c>
      <c r="G395" s="12"/>
    </row>
    <row r="396" spans="1:7" ht="25.5" x14ac:dyDescent="0.25">
      <c r="A396" s="7" t="s">
        <v>1296</v>
      </c>
      <c r="B396" s="7" t="s">
        <v>1317</v>
      </c>
      <c r="C396" s="7"/>
      <c r="D396" s="12" t="s">
        <v>1325</v>
      </c>
      <c r="E396" s="8" t="s">
        <v>82</v>
      </c>
      <c r="F396" s="13">
        <v>1E-3</v>
      </c>
      <c r="G396" s="12"/>
    </row>
    <row r="397" spans="1:7" ht="25.5" x14ac:dyDescent="0.25">
      <c r="A397" s="7" t="s">
        <v>1296</v>
      </c>
      <c r="B397" s="7" t="s">
        <v>1317</v>
      </c>
      <c r="C397" s="7"/>
      <c r="D397" s="12" t="s">
        <v>1326</v>
      </c>
      <c r="E397" s="8" t="s">
        <v>82</v>
      </c>
      <c r="F397" s="13">
        <v>1E-3</v>
      </c>
      <c r="G397" s="12"/>
    </row>
    <row r="398" spans="1:7" ht="25.5" x14ac:dyDescent="0.25">
      <c r="A398" s="7" t="s">
        <v>1296</v>
      </c>
      <c r="B398" s="7" t="s">
        <v>1317</v>
      </c>
      <c r="C398" s="7"/>
      <c r="D398" s="12" t="s">
        <v>1327</v>
      </c>
      <c r="E398" s="8" t="s">
        <v>82</v>
      </c>
      <c r="F398" s="13">
        <v>1E-3</v>
      </c>
      <c r="G398" s="12"/>
    </row>
    <row r="399" spans="1:7" x14ac:dyDescent="0.25">
      <c r="A399" s="7" t="s">
        <v>1296</v>
      </c>
      <c r="B399" s="7" t="s">
        <v>1317</v>
      </c>
      <c r="C399" s="7"/>
      <c r="D399" s="12" t="s">
        <v>1328</v>
      </c>
      <c r="E399" s="8" t="s">
        <v>82</v>
      </c>
      <c r="F399" s="13">
        <v>1E-3</v>
      </c>
      <c r="G399" s="12"/>
    </row>
    <row r="400" spans="1:7" x14ac:dyDescent="0.25">
      <c r="A400" s="7" t="s">
        <v>1296</v>
      </c>
      <c r="B400" s="7" t="s">
        <v>1317</v>
      </c>
      <c r="C400" s="7"/>
      <c r="D400" s="12" t="s">
        <v>1329</v>
      </c>
      <c r="E400" s="8" t="s">
        <v>82</v>
      </c>
      <c r="F400" s="13">
        <v>1E-3</v>
      </c>
      <c r="G400" s="12"/>
    </row>
    <row r="401" spans="1:7" x14ac:dyDescent="0.25">
      <c r="A401" s="7" t="s">
        <v>1296</v>
      </c>
      <c r="B401" s="7" t="s">
        <v>1317</v>
      </c>
      <c r="C401" s="7"/>
      <c r="D401" s="12" t="s">
        <v>1330</v>
      </c>
      <c r="E401" s="8" t="s">
        <v>82</v>
      </c>
      <c r="F401" s="13">
        <v>1E-3</v>
      </c>
      <c r="G401" s="12"/>
    </row>
    <row r="402" spans="1:7" x14ac:dyDescent="0.25">
      <c r="A402" s="7" t="s">
        <v>1296</v>
      </c>
      <c r="B402" s="7" t="s">
        <v>1317</v>
      </c>
      <c r="C402" s="7"/>
      <c r="D402" s="12" t="s">
        <v>1331</v>
      </c>
      <c r="E402" s="8" t="s">
        <v>82</v>
      </c>
      <c r="F402" s="13">
        <v>1E-3</v>
      </c>
      <c r="G402" s="12"/>
    </row>
    <row r="403" spans="1:7" x14ac:dyDescent="0.25">
      <c r="A403" s="7" t="s">
        <v>1296</v>
      </c>
      <c r="B403" s="7" t="s">
        <v>1317</v>
      </c>
      <c r="C403" s="7"/>
      <c r="D403" s="12" t="s">
        <v>1332</v>
      </c>
      <c r="E403" s="8" t="s">
        <v>82</v>
      </c>
      <c r="F403" s="13">
        <v>1E-3</v>
      </c>
      <c r="G403" s="12"/>
    </row>
    <row r="404" spans="1:7" x14ac:dyDescent="0.25">
      <c r="A404" s="7" t="s">
        <v>1296</v>
      </c>
      <c r="B404" s="7" t="s">
        <v>1317</v>
      </c>
      <c r="C404" s="7"/>
      <c r="D404" s="12" t="s">
        <v>1333</v>
      </c>
      <c r="E404" s="8" t="s">
        <v>82</v>
      </c>
      <c r="F404" s="13">
        <v>1E-3</v>
      </c>
      <c r="G404" s="12"/>
    </row>
    <row r="405" spans="1:7" x14ac:dyDescent="0.25">
      <c r="A405" s="7" t="s">
        <v>1296</v>
      </c>
      <c r="B405" s="7" t="s">
        <v>1317</v>
      </c>
      <c r="C405" s="7"/>
      <c r="D405" s="12" t="s">
        <v>1334</v>
      </c>
      <c r="E405" s="8" t="s">
        <v>82</v>
      </c>
      <c r="F405" s="13">
        <v>1E-3</v>
      </c>
      <c r="G405" s="12"/>
    </row>
    <row r="406" spans="1:7" x14ac:dyDescent="0.25">
      <c r="A406" s="7" t="s">
        <v>1296</v>
      </c>
      <c r="B406" s="7" t="s">
        <v>1317</v>
      </c>
      <c r="C406" s="7"/>
      <c r="D406" s="12" t="s">
        <v>1335</v>
      </c>
      <c r="E406" s="8" t="s">
        <v>82</v>
      </c>
      <c r="F406" s="13">
        <v>1E-3</v>
      </c>
      <c r="G406" s="12"/>
    </row>
    <row r="407" spans="1:7" x14ac:dyDescent="0.25">
      <c r="A407" s="7" t="s">
        <v>1296</v>
      </c>
      <c r="B407" s="7" t="s">
        <v>1317</v>
      </c>
      <c r="C407" s="7"/>
      <c r="D407" s="12" t="s">
        <v>1336</v>
      </c>
      <c r="E407" s="8" t="s">
        <v>82</v>
      </c>
      <c r="F407" s="13">
        <v>1E-3</v>
      </c>
      <c r="G407" s="12"/>
    </row>
    <row r="408" spans="1:7" x14ac:dyDescent="0.25">
      <c r="A408" s="7" t="s">
        <v>1296</v>
      </c>
      <c r="B408" s="7" t="s">
        <v>1317</v>
      </c>
      <c r="C408" s="7"/>
      <c r="D408" s="12" t="s">
        <v>1337</v>
      </c>
      <c r="E408" s="8" t="s">
        <v>82</v>
      </c>
      <c r="F408" s="13">
        <v>1E-3</v>
      </c>
      <c r="G408" s="12"/>
    </row>
    <row r="409" spans="1:7" x14ac:dyDescent="0.25">
      <c r="A409" s="7" t="s">
        <v>1296</v>
      </c>
      <c r="B409" s="7" t="s">
        <v>1317</v>
      </c>
      <c r="C409" s="7"/>
      <c r="D409" s="12" t="s">
        <v>1338</v>
      </c>
      <c r="E409" s="8" t="s">
        <v>82</v>
      </c>
      <c r="F409" s="13">
        <v>1E-3</v>
      </c>
      <c r="G409" s="12"/>
    </row>
    <row r="410" spans="1:7" x14ac:dyDescent="0.25">
      <c r="A410" s="7" t="s">
        <v>1296</v>
      </c>
      <c r="B410" s="7" t="s">
        <v>1317</v>
      </c>
      <c r="C410" s="7"/>
      <c r="D410" s="12" t="s">
        <v>1339</v>
      </c>
      <c r="E410" s="8" t="s">
        <v>82</v>
      </c>
      <c r="F410" s="13">
        <v>1E-3</v>
      </c>
      <c r="G410" s="12"/>
    </row>
    <row r="411" spans="1:7" x14ac:dyDescent="0.25">
      <c r="A411" s="7" t="s">
        <v>1296</v>
      </c>
      <c r="B411" s="7" t="s">
        <v>1317</v>
      </c>
      <c r="C411" s="7"/>
      <c r="D411" s="12" t="s">
        <v>1340</v>
      </c>
      <c r="E411" s="8" t="s">
        <v>82</v>
      </c>
      <c r="F411" s="13">
        <v>1E-3</v>
      </c>
      <c r="G411" s="12"/>
    </row>
    <row r="412" spans="1:7" x14ac:dyDescent="0.25">
      <c r="A412" s="7" t="s">
        <v>1296</v>
      </c>
      <c r="B412" s="7" t="s">
        <v>1317</v>
      </c>
      <c r="C412" s="7"/>
      <c r="D412" s="12" t="s">
        <v>1341</v>
      </c>
      <c r="E412" s="8" t="s">
        <v>82</v>
      </c>
      <c r="F412" s="13">
        <v>1E-3</v>
      </c>
      <c r="G412" s="12"/>
    </row>
    <row r="413" spans="1:7" x14ac:dyDescent="0.25">
      <c r="A413" s="7" t="s">
        <v>1296</v>
      </c>
      <c r="B413" s="7" t="s">
        <v>1317</v>
      </c>
      <c r="C413" s="7"/>
      <c r="D413" s="12" t="s">
        <v>1342</v>
      </c>
      <c r="E413" s="8" t="s">
        <v>82</v>
      </c>
      <c r="F413" s="13">
        <v>1E-3</v>
      </c>
      <c r="G413" s="12"/>
    </row>
    <row r="414" spans="1:7" x14ac:dyDescent="0.25">
      <c r="A414" s="7" t="s">
        <v>1296</v>
      </c>
      <c r="B414" s="7" t="s">
        <v>1317</v>
      </c>
      <c r="C414" s="7"/>
      <c r="D414" s="12" t="s">
        <v>1343</v>
      </c>
      <c r="E414" s="8" t="s">
        <v>82</v>
      </c>
      <c r="F414" s="13">
        <v>1E-3</v>
      </c>
      <c r="G414" s="12"/>
    </row>
    <row r="415" spans="1:7" x14ac:dyDescent="0.25">
      <c r="A415" s="7" t="s">
        <v>1296</v>
      </c>
      <c r="B415" s="7" t="s">
        <v>1317</v>
      </c>
      <c r="C415" s="7"/>
      <c r="D415" s="12" t="s">
        <v>1344</v>
      </c>
      <c r="E415" s="8" t="s">
        <v>82</v>
      </c>
      <c r="F415" s="13">
        <v>1E-3</v>
      </c>
      <c r="G415" s="12"/>
    </row>
    <row r="416" spans="1:7" x14ac:dyDescent="0.25">
      <c r="A416" s="7" t="s">
        <v>1296</v>
      </c>
      <c r="B416" s="7" t="s">
        <v>1317</v>
      </c>
      <c r="C416" s="7"/>
      <c r="D416" s="12" t="s">
        <v>1345</v>
      </c>
      <c r="E416" s="8" t="s">
        <v>82</v>
      </c>
      <c r="F416" s="13">
        <v>1E-3</v>
      </c>
      <c r="G416" s="12"/>
    </row>
    <row r="417" spans="1:7" x14ac:dyDescent="0.25">
      <c r="A417" s="7" t="s">
        <v>1296</v>
      </c>
      <c r="B417" s="7" t="s">
        <v>1317</v>
      </c>
      <c r="C417" s="7"/>
      <c r="D417" s="12" t="s">
        <v>1346</v>
      </c>
      <c r="E417" s="8" t="s">
        <v>82</v>
      </c>
      <c r="F417" s="13">
        <v>1E-3</v>
      </c>
      <c r="G417" s="12"/>
    </row>
    <row r="418" spans="1:7" x14ac:dyDescent="0.25">
      <c r="A418" s="7" t="s">
        <v>1296</v>
      </c>
      <c r="B418" s="7" t="s">
        <v>1317</v>
      </c>
      <c r="C418" s="7"/>
      <c r="D418" s="12" t="s">
        <v>1347</v>
      </c>
      <c r="E418" s="8" t="s">
        <v>82</v>
      </c>
      <c r="F418" s="13">
        <v>1E-3</v>
      </c>
      <c r="G418" s="12"/>
    </row>
    <row r="419" spans="1:7" x14ac:dyDescent="0.25">
      <c r="A419" s="7" t="s">
        <v>1296</v>
      </c>
      <c r="B419" s="7" t="s">
        <v>1317</v>
      </c>
      <c r="C419" s="7"/>
      <c r="D419" s="12" t="s">
        <v>1348</v>
      </c>
      <c r="E419" s="8" t="s">
        <v>82</v>
      </c>
      <c r="F419" s="13">
        <v>1E-3</v>
      </c>
      <c r="G419" s="12"/>
    </row>
    <row r="420" spans="1:7" ht="25.5" x14ac:dyDescent="0.25">
      <c r="A420" s="7" t="s">
        <v>1296</v>
      </c>
      <c r="B420" s="7" t="s">
        <v>1317</v>
      </c>
      <c r="C420" s="7"/>
      <c r="D420" s="12" t="s">
        <v>1349</v>
      </c>
      <c r="E420" s="8" t="s">
        <v>82</v>
      </c>
      <c r="F420" s="13">
        <v>1E-3</v>
      </c>
      <c r="G420" s="12"/>
    </row>
    <row r="421" spans="1:7" ht="25.5" x14ac:dyDescent="0.25">
      <c r="A421" s="7" t="s">
        <v>1296</v>
      </c>
      <c r="B421" s="7" t="s">
        <v>1317</v>
      </c>
      <c r="C421" s="7"/>
      <c r="D421" s="12" t="s">
        <v>1350</v>
      </c>
      <c r="E421" s="8" t="s">
        <v>82</v>
      </c>
      <c r="F421" s="13">
        <v>1E-3</v>
      </c>
      <c r="G421" s="12"/>
    </row>
    <row r="422" spans="1:7" ht="25.5" x14ac:dyDescent="0.25">
      <c r="A422" s="7" t="s">
        <v>1296</v>
      </c>
      <c r="B422" s="7" t="s">
        <v>1317</v>
      </c>
      <c r="C422" s="7"/>
      <c r="D422" s="12" t="s">
        <v>1351</v>
      </c>
      <c r="E422" s="8" t="s">
        <v>82</v>
      </c>
      <c r="F422" s="13">
        <v>1E-3</v>
      </c>
      <c r="G422" s="12"/>
    </row>
    <row r="423" spans="1:7" ht="25.5" x14ac:dyDescent="0.25">
      <c r="A423" s="7" t="s">
        <v>1296</v>
      </c>
      <c r="B423" s="7" t="s">
        <v>1317</v>
      </c>
      <c r="C423" s="7"/>
      <c r="D423" s="12" t="s">
        <v>1352</v>
      </c>
      <c r="E423" s="8" t="s">
        <v>82</v>
      </c>
      <c r="F423" s="13">
        <v>1E-3</v>
      </c>
      <c r="G423" s="12"/>
    </row>
    <row r="424" spans="1:7" x14ac:dyDescent="0.25">
      <c r="A424" s="7" t="s">
        <v>1296</v>
      </c>
      <c r="B424" s="7" t="s">
        <v>1317</v>
      </c>
      <c r="C424" s="7"/>
      <c r="D424" s="12" t="s">
        <v>1353</v>
      </c>
      <c r="E424" s="8" t="s">
        <v>82</v>
      </c>
      <c r="F424" s="13">
        <v>1E-3</v>
      </c>
      <c r="G424" s="12"/>
    </row>
    <row r="425" spans="1:7" x14ac:dyDescent="0.25">
      <c r="A425" s="7" t="s">
        <v>1296</v>
      </c>
      <c r="B425" s="7" t="s">
        <v>1317</v>
      </c>
      <c r="C425" s="7"/>
      <c r="D425" s="12" t="s">
        <v>1354</v>
      </c>
      <c r="E425" s="8" t="s">
        <v>82</v>
      </c>
      <c r="F425" s="13">
        <v>1E-3</v>
      </c>
      <c r="G425" s="12"/>
    </row>
    <row r="426" spans="1:7" x14ac:dyDescent="0.25">
      <c r="A426" s="7" t="s">
        <v>1296</v>
      </c>
      <c r="B426" s="7" t="s">
        <v>1317</v>
      </c>
      <c r="C426" s="7"/>
      <c r="D426" s="12" t="s">
        <v>1355</v>
      </c>
      <c r="E426" s="8" t="s">
        <v>82</v>
      </c>
      <c r="F426" s="13">
        <v>1E-3</v>
      </c>
      <c r="G426" s="12"/>
    </row>
    <row r="427" spans="1:7" x14ac:dyDescent="0.25">
      <c r="A427" s="7" t="s">
        <v>1296</v>
      </c>
      <c r="B427" s="7" t="s">
        <v>1317</v>
      </c>
      <c r="C427" s="7"/>
      <c r="D427" s="12" t="s">
        <v>1356</v>
      </c>
      <c r="E427" s="8" t="s">
        <v>82</v>
      </c>
      <c r="F427" s="13">
        <v>1E-3</v>
      </c>
      <c r="G427" s="12"/>
    </row>
    <row r="428" spans="1:7" x14ac:dyDescent="0.25">
      <c r="A428" s="7" t="s">
        <v>1296</v>
      </c>
      <c r="B428" s="7" t="s">
        <v>1317</v>
      </c>
      <c r="C428" s="7"/>
      <c r="D428" s="12" t="s">
        <v>1357</v>
      </c>
      <c r="E428" s="8" t="s">
        <v>82</v>
      </c>
      <c r="F428" s="13">
        <v>1E-3</v>
      </c>
      <c r="G428" s="12"/>
    </row>
    <row r="429" spans="1:7" x14ac:dyDescent="0.25">
      <c r="A429" s="7" t="s">
        <v>1296</v>
      </c>
      <c r="B429" s="7" t="s">
        <v>1317</v>
      </c>
      <c r="C429" s="7"/>
      <c r="D429" s="12" t="s">
        <v>1358</v>
      </c>
      <c r="E429" s="8" t="s">
        <v>82</v>
      </c>
      <c r="F429" s="13">
        <v>1E-3</v>
      </c>
      <c r="G429" s="12"/>
    </row>
    <row r="430" spans="1:7" x14ac:dyDescent="0.25">
      <c r="A430" s="7" t="s">
        <v>1296</v>
      </c>
      <c r="B430" s="7" t="s">
        <v>1317</v>
      </c>
      <c r="C430" s="7"/>
      <c r="D430" s="12" t="s">
        <v>1359</v>
      </c>
      <c r="E430" s="8" t="s">
        <v>82</v>
      </c>
      <c r="F430" s="13">
        <v>1E-3</v>
      </c>
      <c r="G430" s="12"/>
    </row>
    <row r="431" spans="1:7" x14ac:dyDescent="0.25">
      <c r="A431" s="7" t="s">
        <v>1296</v>
      </c>
      <c r="B431" s="7" t="s">
        <v>1317</v>
      </c>
      <c r="C431" s="7"/>
      <c r="D431" s="12" t="s">
        <v>1360</v>
      </c>
      <c r="E431" s="8" t="s">
        <v>82</v>
      </c>
      <c r="F431" s="13">
        <v>1E-3</v>
      </c>
      <c r="G431" s="12"/>
    </row>
    <row r="432" spans="1:7" x14ac:dyDescent="0.25">
      <c r="A432" s="7" t="s">
        <v>1296</v>
      </c>
      <c r="B432" s="7" t="s">
        <v>1317</v>
      </c>
      <c r="C432" s="7"/>
      <c r="D432" s="12" t="s">
        <v>1361</v>
      </c>
      <c r="E432" s="8" t="s">
        <v>82</v>
      </c>
      <c r="F432" s="13">
        <v>1E-3</v>
      </c>
      <c r="G432" s="12"/>
    </row>
    <row r="433" spans="1:7" x14ac:dyDescent="0.25">
      <c r="A433" s="7" t="s">
        <v>1296</v>
      </c>
      <c r="B433" s="7" t="s">
        <v>1317</v>
      </c>
      <c r="C433" s="7"/>
      <c r="D433" s="12" t="s">
        <v>1362</v>
      </c>
      <c r="E433" s="8" t="s">
        <v>82</v>
      </c>
      <c r="F433" s="13">
        <v>1E-3</v>
      </c>
      <c r="G433" s="12"/>
    </row>
    <row r="434" spans="1:7" x14ac:dyDescent="0.25">
      <c r="A434" s="7" t="s">
        <v>1296</v>
      </c>
      <c r="B434" s="7" t="s">
        <v>1317</v>
      </c>
      <c r="C434" s="7"/>
      <c r="D434" s="12" t="s">
        <v>1363</v>
      </c>
      <c r="E434" s="8" t="s">
        <v>82</v>
      </c>
      <c r="F434" s="13">
        <v>1E-3</v>
      </c>
      <c r="G434" s="12"/>
    </row>
    <row r="435" spans="1:7" x14ac:dyDescent="0.25">
      <c r="A435" s="7" t="s">
        <v>1296</v>
      </c>
      <c r="B435" s="7" t="s">
        <v>1317</v>
      </c>
      <c r="C435" s="7"/>
      <c r="D435" s="12" t="s">
        <v>1364</v>
      </c>
      <c r="E435" s="8" t="s">
        <v>82</v>
      </c>
      <c r="F435" s="13">
        <v>1E-3</v>
      </c>
      <c r="G435" s="12"/>
    </row>
    <row r="436" spans="1:7" x14ac:dyDescent="0.25">
      <c r="A436" s="7" t="s">
        <v>1296</v>
      </c>
      <c r="B436" s="7" t="s">
        <v>1317</v>
      </c>
      <c r="C436" s="7"/>
      <c r="D436" s="12" t="s">
        <v>1365</v>
      </c>
      <c r="E436" s="8" t="s">
        <v>82</v>
      </c>
      <c r="F436" s="13">
        <v>1E-3</v>
      </c>
      <c r="G436" s="12"/>
    </row>
    <row r="437" spans="1:7" x14ac:dyDescent="0.25">
      <c r="A437" s="7" t="s">
        <v>1296</v>
      </c>
      <c r="B437" s="7" t="s">
        <v>1317</v>
      </c>
      <c r="C437" s="7"/>
      <c r="D437" s="12" t="s">
        <v>1366</v>
      </c>
      <c r="E437" s="8" t="s">
        <v>82</v>
      </c>
      <c r="F437" s="13">
        <v>1E-3</v>
      </c>
      <c r="G437" s="12"/>
    </row>
    <row r="438" spans="1:7" x14ac:dyDescent="0.25">
      <c r="A438" s="7" t="s">
        <v>1296</v>
      </c>
      <c r="B438" s="7" t="s">
        <v>1317</v>
      </c>
      <c r="C438" s="7"/>
      <c r="D438" s="12" t="s">
        <v>1367</v>
      </c>
      <c r="E438" s="8" t="s">
        <v>82</v>
      </c>
      <c r="F438" s="13">
        <v>1E-3</v>
      </c>
      <c r="G438" s="12"/>
    </row>
    <row r="439" spans="1:7" ht="25.5" x14ac:dyDescent="0.25">
      <c r="A439" s="7" t="s">
        <v>1296</v>
      </c>
      <c r="B439" s="7" t="s">
        <v>1317</v>
      </c>
      <c r="C439" s="7"/>
      <c r="D439" s="12" t="s">
        <v>1368</v>
      </c>
      <c r="E439" s="8" t="s">
        <v>82</v>
      </c>
      <c r="F439" s="13">
        <v>1E-3</v>
      </c>
      <c r="G439" s="12"/>
    </row>
    <row r="440" spans="1:7" ht="25.5" x14ac:dyDescent="0.25">
      <c r="A440" s="7" t="s">
        <v>1296</v>
      </c>
      <c r="B440" s="7" t="s">
        <v>1317</v>
      </c>
      <c r="C440" s="7"/>
      <c r="D440" s="12" t="s">
        <v>1369</v>
      </c>
      <c r="E440" s="8" t="s">
        <v>82</v>
      </c>
      <c r="F440" s="13">
        <v>1E-3</v>
      </c>
      <c r="G440" s="12"/>
    </row>
    <row r="441" spans="1:7" ht="25.5" x14ac:dyDescent="0.25">
      <c r="A441" s="7" t="s">
        <v>1296</v>
      </c>
      <c r="B441" s="7" t="s">
        <v>1317</v>
      </c>
      <c r="C441" s="7"/>
      <c r="D441" s="12" t="s">
        <v>1370</v>
      </c>
      <c r="E441" s="8" t="s">
        <v>82</v>
      </c>
      <c r="F441" s="13">
        <v>1E-3</v>
      </c>
      <c r="G441" s="12"/>
    </row>
    <row r="442" spans="1:7" ht="25.5" x14ac:dyDescent="0.25">
      <c r="A442" s="7" t="s">
        <v>1296</v>
      </c>
      <c r="B442" s="7" t="s">
        <v>1317</v>
      </c>
      <c r="C442" s="7"/>
      <c r="D442" s="12" t="s">
        <v>1371</v>
      </c>
      <c r="E442" s="8" t="s">
        <v>82</v>
      </c>
      <c r="F442" s="13">
        <v>1E-3</v>
      </c>
      <c r="G442" s="12"/>
    </row>
    <row r="443" spans="1:7" ht="25.5" x14ac:dyDescent="0.25">
      <c r="A443" s="7" t="s">
        <v>1296</v>
      </c>
      <c r="B443" s="7" t="s">
        <v>1317</v>
      </c>
      <c r="C443" s="7"/>
      <c r="D443" s="12" t="s">
        <v>1372</v>
      </c>
      <c r="E443" s="8" t="s">
        <v>82</v>
      </c>
      <c r="F443" s="13">
        <v>1E-3</v>
      </c>
      <c r="G443" s="12"/>
    </row>
    <row r="444" spans="1:7" ht="25.5" x14ac:dyDescent="0.25">
      <c r="A444" s="7" t="s">
        <v>1296</v>
      </c>
      <c r="B444" s="7" t="s">
        <v>1317</v>
      </c>
      <c r="C444" s="7"/>
      <c r="D444" s="12" t="s">
        <v>1373</v>
      </c>
      <c r="E444" s="8" t="s">
        <v>82</v>
      </c>
      <c r="F444" s="13">
        <v>1E-3</v>
      </c>
      <c r="G444" s="12"/>
    </row>
    <row r="445" spans="1:7" x14ac:dyDescent="0.25">
      <c r="A445" s="7" t="s">
        <v>1296</v>
      </c>
      <c r="B445" s="7" t="s">
        <v>1317</v>
      </c>
      <c r="C445" s="7"/>
      <c r="D445" s="12" t="s">
        <v>1374</v>
      </c>
      <c r="E445" s="8" t="s">
        <v>82</v>
      </c>
      <c r="F445" s="13">
        <v>1E-3</v>
      </c>
      <c r="G445" s="12"/>
    </row>
    <row r="446" spans="1:7" x14ac:dyDescent="0.25">
      <c r="A446" s="7" t="s">
        <v>1296</v>
      </c>
      <c r="B446" s="7" t="s">
        <v>1317</v>
      </c>
      <c r="C446" s="7"/>
      <c r="D446" s="12" t="s">
        <v>1375</v>
      </c>
      <c r="E446" s="8" t="s">
        <v>82</v>
      </c>
      <c r="F446" s="13">
        <v>1E-3</v>
      </c>
      <c r="G446" s="12"/>
    </row>
    <row r="447" spans="1:7" x14ac:dyDescent="0.25">
      <c r="A447" s="7" t="s">
        <v>1296</v>
      </c>
      <c r="B447" s="7" t="s">
        <v>1317</v>
      </c>
      <c r="C447" s="7"/>
      <c r="D447" s="12" t="s">
        <v>1376</v>
      </c>
      <c r="E447" s="8" t="s">
        <v>82</v>
      </c>
      <c r="F447" s="13">
        <v>1E-3</v>
      </c>
      <c r="G447" s="12"/>
    </row>
    <row r="448" spans="1:7" x14ac:dyDescent="0.25">
      <c r="A448" s="7" t="s">
        <v>1296</v>
      </c>
      <c r="B448" s="7" t="s">
        <v>1317</v>
      </c>
      <c r="C448" s="7"/>
      <c r="D448" s="12" t="s">
        <v>1377</v>
      </c>
      <c r="E448" s="8" t="s">
        <v>82</v>
      </c>
      <c r="F448" s="13">
        <v>1E-3</v>
      </c>
      <c r="G448" s="12"/>
    </row>
    <row r="449" spans="1:7" x14ac:dyDescent="0.25">
      <c r="A449" s="7" t="s">
        <v>1296</v>
      </c>
      <c r="B449" s="7" t="s">
        <v>1378</v>
      </c>
      <c r="C449" s="7"/>
      <c r="D449" s="12" t="s">
        <v>1379</v>
      </c>
      <c r="E449" s="8" t="s">
        <v>82</v>
      </c>
      <c r="F449" s="13">
        <v>1E-3</v>
      </c>
      <c r="G449" s="12"/>
    </row>
    <row r="450" spans="1:7" ht="25.5" x14ac:dyDescent="0.25">
      <c r="A450" s="7" t="s">
        <v>1296</v>
      </c>
      <c r="B450" s="7" t="s">
        <v>1378</v>
      </c>
      <c r="C450" s="7"/>
      <c r="D450" s="12" t="s">
        <v>1380</v>
      </c>
      <c r="E450" s="8" t="s">
        <v>82</v>
      </c>
      <c r="F450" s="13">
        <v>1E-3</v>
      </c>
      <c r="G450" s="12"/>
    </row>
    <row r="451" spans="1:7" ht="25.5" x14ac:dyDescent="0.25">
      <c r="A451" s="7" t="s">
        <v>1296</v>
      </c>
      <c r="B451" s="7" t="s">
        <v>1378</v>
      </c>
      <c r="C451" s="7"/>
      <c r="D451" s="12" t="s">
        <v>1381</v>
      </c>
      <c r="E451" s="8" t="s">
        <v>82</v>
      </c>
      <c r="F451" s="13">
        <v>1E-3</v>
      </c>
      <c r="G451" s="12"/>
    </row>
    <row r="452" spans="1:7" ht="25.5" x14ac:dyDescent="0.25">
      <c r="A452" s="7" t="s">
        <v>1296</v>
      </c>
      <c r="B452" s="7" t="s">
        <v>1378</v>
      </c>
      <c r="C452" s="7"/>
      <c r="D452" s="12" t="s">
        <v>1382</v>
      </c>
      <c r="E452" s="8" t="s">
        <v>82</v>
      </c>
      <c r="F452" s="13">
        <v>1E-3</v>
      </c>
      <c r="G452" s="12"/>
    </row>
    <row r="453" spans="1:7" ht="25.5" x14ac:dyDescent="0.25">
      <c r="A453" s="7" t="s">
        <v>1296</v>
      </c>
      <c r="B453" s="7" t="s">
        <v>1378</v>
      </c>
      <c r="C453" s="7"/>
      <c r="D453" s="12" t="s">
        <v>1383</v>
      </c>
      <c r="E453" s="8" t="s">
        <v>82</v>
      </c>
      <c r="F453" s="13">
        <v>1E-3</v>
      </c>
      <c r="G453" s="12"/>
    </row>
    <row r="454" spans="1:7" x14ac:dyDescent="0.25">
      <c r="A454" s="7" t="s">
        <v>1296</v>
      </c>
      <c r="B454" s="7" t="s">
        <v>1378</v>
      </c>
      <c r="C454" s="7"/>
      <c r="D454" s="12" t="s">
        <v>1384</v>
      </c>
      <c r="E454" s="8" t="s">
        <v>82</v>
      </c>
      <c r="F454" s="13">
        <v>1E-3</v>
      </c>
      <c r="G454" s="12"/>
    </row>
    <row r="455" spans="1:7" x14ac:dyDescent="0.25">
      <c r="A455" s="7" t="s">
        <v>1296</v>
      </c>
      <c r="B455" s="7" t="s">
        <v>1378</v>
      </c>
      <c r="C455" s="7"/>
      <c r="D455" s="12" t="s">
        <v>1385</v>
      </c>
      <c r="E455" s="8" t="s">
        <v>82</v>
      </c>
      <c r="F455" s="13">
        <v>1E-3</v>
      </c>
      <c r="G455" s="12"/>
    </row>
    <row r="456" spans="1:7" x14ac:dyDescent="0.25">
      <c r="A456" s="7" t="s">
        <v>1296</v>
      </c>
      <c r="B456" s="7" t="s">
        <v>1378</v>
      </c>
      <c r="C456" s="7"/>
      <c r="D456" s="12" t="s">
        <v>1386</v>
      </c>
      <c r="E456" s="8" t="s">
        <v>82</v>
      </c>
      <c r="F456" s="13">
        <v>1E-3</v>
      </c>
      <c r="G456" s="12"/>
    </row>
    <row r="457" spans="1:7" x14ac:dyDescent="0.25">
      <c r="A457" s="7" t="s">
        <v>1296</v>
      </c>
      <c r="B457" s="7" t="s">
        <v>1378</v>
      </c>
      <c r="C457" s="7"/>
      <c r="D457" s="12" t="s">
        <v>1387</v>
      </c>
      <c r="E457" s="8" t="s">
        <v>82</v>
      </c>
      <c r="F457" s="13">
        <v>1E-3</v>
      </c>
      <c r="G457" s="12"/>
    </row>
    <row r="458" spans="1:7" x14ac:dyDescent="0.25">
      <c r="A458" s="7" t="s">
        <v>1296</v>
      </c>
      <c r="B458" s="7" t="s">
        <v>1378</v>
      </c>
      <c r="C458" s="7"/>
      <c r="D458" s="12" t="s">
        <v>1388</v>
      </c>
      <c r="E458" s="8" t="s">
        <v>82</v>
      </c>
      <c r="F458" s="13">
        <v>1E-3</v>
      </c>
      <c r="G458" s="12"/>
    </row>
    <row r="459" spans="1:7" x14ac:dyDescent="0.25">
      <c r="A459" s="7" t="s">
        <v>1296</v>
      </c>
      <c r="B459" s="7" t="s">
        <v>1378</v>
      </c>
      <c r="C459" s="7"/>
      <c r="D459" s="12" t="s">
        <v>1389</v>
      </c>
      <c r="E459" s="8" t="s">
        <v>82</v>
      </c>
      <c r="F459" s="13">
        <v>1E-3</v>
      </c>
      <c r="G459" s="12"/>
    </row>
    <row r="460" spans="1:7" x14ac:dyDescent="0.25">
      <c r="A460" s="7" t="s">
        <v>1296</v>
      </c>
      <c r="B460" s="7" t="s">
        <v>1378</v>
      </c>
      <c r="C460" s="7"/>
      <c r="D460" s="12" t="s">
        <v>1390</v>
      </c>
      <c r="E460" s="8" t="s">
        <v>82</v>
      </c>
      <c r="F460" s="13">
        <v>1E-3</v>
      </c>
      <c r="G460" s="12"/>
    </row>
    <row r="461" spans="1:7" ht="25.5" x14ac:dyDescent="0.25">
      <c r="A461" s="7" t="s">
        <v>1296</v>
      </c>
      <c r="B461" s="7" t="s">
        <v>1391</v>
      </c>
      <c r="C461" s="7"/>
      <c r="D461" s="12" t="s">
        <v>1392</v>
      </c>
      <c r="E461" s="8" t="s">
        <v>83</v>
      </c>
      <c r="F461" s="13">
        <v>2E-3</v>
      </c>
      <c r="G461" s="12" t="s">
        <v>1393</v>
      </c>
    </row>
    <row r="462" spans="1:7" ht="25.5" x14ac:dyDescent="0.25">
      <c r="A462" s="7" t="s">
        <v>1296</v>
      </c>
      <c r="B462" s="7" t="s">
        <v>1391</v>
      </c>
      <c r="C462" s="7"/>
      <c r="D462" s="12" t="s">
        <v>1394</v>
      </c>
      <c r="E462" s="8" t="s">
        <v>83</v>
      </c>
      <c r="F462" s="13">
        <v>2E-3</v>
      </c>
      <c r="G462" s="12" t="s">
        <v>1393</v>
      </c>
    </row>
    <row r="463" spans="1:7" ht="25.5" x14ac:dyDescent="0.25">
      <c r="A463" s="7" t="s">
        <v>1296</v>
      </c>
      <c r="B463" s="7" t="s">
        <v>1391</v>
      </c>
      <c r="C463" s="7"/>
      <c r="D463" s="12" t="s">
        <v>1395</v>
      </c>
      <c r="E463" s="8" t="s">
        <v>83</v>
      </c>
      <c r="F463" s="13">
        <v>2E-3</v>
      </c>
      <c r="G463" s="12" t="s">
        <v>1393</v>
      </c>
    </row>
    <row r="464" spans="1:7" ht="25.5" x14ac:dyDescent="0.25">
      <c r="A464" s="7" t="s">
        <v>1296</v>
      </c>
      <c r="B464" s="7" t="s">
        <v>1391</v>
      </c>
      <c r="C464" s="7"/>
      <c r="D464" s="12" t="s">
        <v>1396</v>
      </c>
      <c r="E464" s="8" t="s">
        <v>83</v>
      </c>
      <c r="F464" s="13">
        <v>2E-3</v>
      </c>
      <c r="G464" s="12" t="s">
        <v>1393</v>
      </c>
    </row>
    <row r="465" spans="1:7" ht="25.5" x14ac:dyDescent="0.25">
      <c r="A465" s="7" t="s">
        <v>1296</v>
      </c>
      <c r="B465" s="7" t="s">
        <v>1391</v>
      </c>
      <c r="C465" s="7"/>
      <c r="D465" s="12" t="s">
        <v>1397</v>
      </c>
      <c r="E465" s="8" t="s">
        <v>83</v>
      </c>
      <c r="F465" s="13">
        <v>2E-3</v>
      </c>
      <c r="G465" s="12" t="s">
        <v>1393</v>
      </c>
    </row>
    <row r="466" spans="1:7" ht="25.5" x14ac:dyDescent="0.25">
      <c r="A466" s="7" t="s">
        <v>1296</v>
      </c>
      <c r="B466" s="7" t="s">
        <v>1391</v>
      </c>
      <c r="C466" s="7"/>
      <c r="D466" s="12" t="s">
        <v>1398</v>
      </c>
      <c r="E466" s="8" t="s">
        <v>83</v>
      </c>
      <c r="F466" s="13">
        <v>1E-3</v>
      </c>
      <c r="G466" s="12" t="s">
        <v>1393</v>
      </c>
    </row>
    <row r="467" spans="1:7" ht="25.5" x14ac:dyDescent="0.25">
      <c r="A467" s="7" t="s">
        <v>1296</v>
      </c>
      <c r="B467" s="7" t="s">
        <v>1391</v>
      </c>
      <c r="C467" s="7"/>
      <c r="D467" s="12" t="s">
        <v>1399</v>
      </c>
      <c r="E467" s="8" t="s">
        <v>83</v>
      </c>
      <c r="F467" s="13">
        <v>2E-3</v>
      </c>
      <c r="G467" s="12" t="s">
        <v>1393</v>
      </c>
    </row>
    <row r="468" spans="1:7" ht="25.5" x14ac:dyDescent="0.25">
      <c r="A468" s="7" t="s">
        <v>1296</v>
      </c>
      <c r="B468" s="7" t="s">
        <v>1391</v>
      </c>
      <c r="C468" s="7"/>
      <c r="D468" s="12" t="s">
        <v>1400</v>
      </c>
      <c r="E468" s="8" t="s">
        <v>83</v>
      </c>
      <c r="F468" s="13">
        <v>2E-3</v>
      </c>
      <c r="G468" s="12" t="s">
        <v>1393</v>
      </c>
    </row>
    <row r="469" spans="1:7" ht="25.5" x14ac:dyDescent="0.25">
      <c r="A469" s="7" t="s">
        <v>1296</v>
      </c>
      <c r="B469" s="7" t="s">
        <v>1391</v>
      </c>
      <c r="C469" s="7"/>
      <c r="D469" s="12" t="s">
        <v>1401</v>
      </c>
      <c r="E469" s="8" t="s">
        <v>83</v>
      </c>
      <c r="F469" s="13">
        <v>2E-3</v>
      </c>
      <c r="G469" s="12" t="s">
        <v>1393</v>
      </c>
    </row>
    <row r="470" spans="1:7" ht="25.5" x14ac:dyDescent="0.25">
      <c r="A470" s="7" t="s">
        <v>1296</v>
      </c>
      <c r="B470" s="7" t="s">
        <v>1391</v>
      </c>
      <c r="C470" s="7"/>
      <c r="D470" s="12" t="s">
        <v>1402</v>
      </c>
      <c r="E470" s="8" t="s">
        <v>83</v>
      </c>
      <c r="F470" s="13">
        <v>1E-3</v>
      </c>
      <c r="G470" s="12" t="s">
        <v>1393</v>
      </c>
    </row>
    <row r="471" spans="1:7" ht="25.5" x14ac:dyDescent="0.25">
      <c r="A471" s="7" t="s">
        <v>1296</v>
      </c>
      <c r="B471" s="7" t="s">
        <v>1391</v>
      </c>
      <c r="C471" s="7"/>
      <c r="D471" s="12" t="s">
        <v>1403</v>
      </c>
      <c r="E471" s="8" t="s">
        <v>82</v>
      </c>
      <c r="F471" s="13">
        <v>1E-3</v>
      </c>
      <c r="G471" s="12"/>
    </row>
    <row r="472" spans="1:7" ht="25.5" x14ac:dyDescent="0.25">
      <c r="A472" s="7" t="s">
        <v>1296</v>
      </c>
      <c r="B472" s="7" t="s">
        <v>1391</v>
      </c>
      <c r="C472" s="7"/>
      <c r="D472" s="12" t="s">
        <v>1404</v>
      </c>
      <c r="E472" s="8" t="s">
        <v>82</v>
      </c>
      <c r="F472" s="13">
        <v>1E-3</v>
      </c>
      <c r="G472" s="12"/>
    </row>
    <row r="473" spans="1:7" ht="25.5" x14ac:dyDescent="0.25">
      <c r="A473" s="7" t="s">
        <v>1296</v>
      </c>
      <c r="B473" s="7" t="s">
        <v>1391</v>
      </c>
      <c r="C473" s="7"/>
      <c r="D473" s="12" t="s">
        <v>1405</v>
      </c>
      <c r="E473" s="8" t="s">
        <v>82</v>
      </c>
      <c r="F473" s="13">
        <v>2E-3</v>
      </c>
      <c r="G473" s="12"/>
    </row>
    <row r="474" spans="1:7" ht="25.5" x14ac:dyDescent="0.25">
      <c r="A474" s="7" t="s">
        <v>1296</v>
      </c>
      <c r="B474" s="7" t="s">
        <v>1391</v>
      </c>
      <c r="C474" s="7"/>
      <c r="D474" s="12" t="s">
        <v>1406</v>
      </c>
      <c r="E474" s="8" t="s">
        <v>82</v>
      </c>
      <c r="F474" s="13">
        <v>2E-3</v>
      </c>
      <c r="G474" s="12"/>
    </row>
    <row r="475" spans="1:7" ht="25.5" x14ac:dyDescent="0.25">
      <c r="A475" s="7" t="s">
        <v>1296</v>
      </c>
      <c r="B475" s="7" t="s">
        <v>1391</v>
      </c>
      <c r="C475" s="7"/>
      <c r="D475" s="12" t="s">
        <v>1407</v>
      </c>
      <c r="E475" s="8" t="s">
        <v>82</v>
      </c>
      <c r="F475" s="13">
        <v>1E-3</v>
      </c>
      <c r="G475" s="12"/>
    </row>
    <row r="476" spans="1:7" ht="25.5" x14ac:dyDescent="0.25">
      <c r="A476" s="7" t="s">
        <v>1296</v>
      </c>
      <c r="B476" s="7" t="s">
        <v>1391</v>
      </c>
      <c r="C476" s="7"/>
      <c r="D476" s="12" t="s">
        <v>1408</v>
      </c>
      <c r="E476" s="8" t="s">
        <v>82</v>
      </c>
      <c r="F476" s="13">
        <v>1E-3</v>
      </c>
      <c r="G476" s="12"/>
    </row>
    <row r="477" spans="1:7" ht="25.5" x14ac:dyDescent="0.25">
      <c r="A477" s="7" t="s">
        <v>1296</v>
      </c>
      <c r="B477" s="7" t="s">
        <v>1391</v>
      </c>
      <c r="C477" s="7"/>
      <c r="D477" s="12" t="s">
        <v>1409</v>
      </c>
      <c r="E477" s="8" t="s">
        <v>82</v>
      </c>
      <c r="F477" s="13">
        <v>1E-3</v>
      </c>
      <c r="G477" s="12"/>
    </row>
    <row r="478" spans="1:7" ht="25.5" x14ac:dyDescent="0.25">
      <c r="A478" s="7" t="s">
        <v>1296</v>
      </c>
      <c r="B478" s="7" t="s">
        <v>1391</v>
      </c>
      <c r="C478" s="7"/>
      <c r="D478" s="12" t="s">
        <v>1410</v>
      </c>
      <c r="E478" s="8" t="s">
        <v>82</v>
      </c>
      <c r="F478" s="13">
        <v>1E-3</v>
      </c>
      <c r="G478" s="12"/>
    </row>
    <row r="479" spans="1:7" ht="25.5" x14ac:dyDescent="0.25">
      <c r="A479" s="7" t="s">
        <v>1296</v>
      </c>
      <c r="B479" s="7" t="s">
        <v>1391</v>
      </c>
      <c r="C479" s="7"/>
      <c r="D479" s="12" t="s">
        <v>1411</v>
      </c>
      <c r="E479" s="8" t="s">
        <v>82</v>
      </c>
      <c r="F479" s="13">
        <v>1E-3</v>
      </c>
      <c r="G479" s="12"/>
    </row>
    <row r="480" spans="1:7" ht="25.5" x14ac:dyDescent="0.25">
      <c r="A480" s="7" t="s">
        <v>1296</v>
      </c>
      <c r="B480" s="7" t="s">
        <v>1391</v>
      </c>
      <c r="C480" s="7"/>
      <c r="D480" s="12" t="s">
        <v>1412</v>
      </c>
      <c r="E480" s="8" t="s">
        <v>82</v>
      </c>
      <c r="F480" s="13">
        <v>1E-3</v>
      </c>
      <c r="G480" s="12"/>
    </row>
    <row r="481" spans="1:7" ht="25.5" x14ac:dyDescent="0.25">
      <c r="A481" s="7" t="s">
        <v>1296</v>
      </c>
      <c r="B481" s="7" t="s">
        <v>1391</v>
      </c>
      <c r="C481" s="7"/>
      <c r="D481" s="12" t="s">
        <v>1413</v>
      </c>
      <c r="E481" s="8" t="s">
        <v>82</v>
      </c>
      <c r="F481" s="13">
        <v>1E-3</v>
      </c>
      <c r="G481" s="12"/>
    </row>
    <row r="482" spans="1:7" ht="25.5" x14ac:dyDescent="0.25">
      <c r="A482" s="7" t="s">
        <v>1296</v>
      </c>
      <c r="B482" s="7" t="s">
        <v>1391</v>
      </c>
      <c r="C482" s="7"/>
      <c r="D482" s="12" t="s">
        <v>1414</v>
      </c>
      <c r="E482" s="8" t="s">
        <v>82</v>
      </c>
      <c r="F482" s="13">
        <v>2E-3</v>
      </c>
      <c r="G482" s="12"/>
    </row>
    <row r="483" spans="1:7" ht="25.5" x14ac:dyDescent="0.25">
      <c r="A483" s="7" t="s">
        <v>1296</v>
      </c>
      <c r="B483" s="7" t="s">
        <v>1391</v>
      </c>
      <c r="C483" s="7"/>
      <c r="D483" s="12" t="s">
        <v>1415</v>
      </c>
      <c r="E483" s="8" t="s">
        <v>83</v>
      </c>
      <c r="F483" s="13">
        <v>3.0000000000000001E-3</v>
      </c>
      <c r="G483" s="12" t="s">
        <v>1393</v>
      </c>
    </row>
    <row r="484" spans="1:7" ht="25.5" x14ac:dyDescent="0.25">
      <c r="A484" s="7" t="s">
        <v>1296</v>
      </c>
      <c r="B484" s="7" t="s">
        <v>1391</v>
      </c>
      <c r="C484" s="7"/>
      <c r="D484" s="12" t="s">
        <v>1416</v>
      </c>
      <c r="E484" s="8" t="s">
        <v>83</v>
      </c>
      <c r="F484" s="13">
        <v>2E-3</v>
      </c>
      <c r="G484" s="12" t="s">
        <v>1393</v>
      </c>
    </row>
    <row r="485" spans="1:7" ht="25.5" x14ac:dyDescent="0.25">
      <c r="A485" s="7" t="s">
        <v>1296</v>
      </c>
      <c r="B485" s="7" t="s">
        <v>1417</v>
      </c>
      <c r="C485" s="7"/>
      <c r="D485" s="12" t="s">
        <v>1418</v>
      </c>
      <c r="E485" s="8" t="s">
        <v>82</v>
      </c>
      <c r="F485" s="13">
        <v>2E-3</v>
      </c>
      <c r="G485" s="12"/>
    </row>
    <row r="486" spans="1:7" ht="25.5" x14ac:dyDescent="0.25">
      <c r="A486" s="7" t="s">
        <v>1296</v>
      </c>
      <c r="B486" s="7" t="s">
        <v>1417</v>
      </c>
      <c r="C486" s="7"/>
      <c r="D486" s="12" t="s">
        <v>1419</v>
      </c>
      <c r="E486" s="8" t="s">
        <v>82</v>
      </c>
      <c r="F486" s="13">
        <v>1E-3</v>
      </c>
      <c r="G486" s="12"/>
    </row>
    <row r="487" spans="1:7" ht="38.25" x14ac:dyDescent="0.25">
      <c r="A487" s="7" t="s">
        <v>1296</v>
      </c>
      <c r="B487" s="7" t="s">
        <v>1417</v>
      </c>
      <c r="C487" s="7"/>
      <c r="D487" s="12" t="s">
        <v>1420</v>
      </c>
      <c r="E487" s="8" t="s">
        <v>82</v>
      </c>
      <c r="F487" s="13">
        <v>1E-3</v>
      </c>
      <c r="G487" s="12"/>
    </row>
    <row r="488" spans="1:7" ht="25.5" x14ac:dyDescent="0.25">
      <c r="A488" s="7" t="s">
        <v>1296</v>
      </c>
      <c r="B488" s="7" t="s">
        <v>1417</v>
      </c>
      <c r="C488" s="7"/>
      <c r="D488" s="12" t="s">
        <v>1421</v>
      </c>
      <c r="E488" s="8" t="s">
        <v>82</v>
      </c>
      <c r="F488" s="13">
        <v>2E-3</v>
      </c>
      <c r="G488" s="12"/>
    </row>
    <row r="489" spans="1:7" ht="25.5" x14ac:dyDescent="0.25">
      <c r="A489" s="7" t="s">
        <v>1296</v>
      </c>
      <c r="B489" s="7" t="s">
        <v>1417</v>
      </c>
      <c r="C489" s="7"/>
      <c r="D489" s="12" t="s">
        <v>1422</v>
      </c>
      <c r="E489" s="8" t="s">
        <v>82</v>
      </c>
      <c r="F489" s="13">
        <v>1E-3</v>
      </c>
      <c r="G489" s="12"/>
    </row>
    <row r="490" spans="1:7" ht="38.25" x14ac:dyDescent="0.25">
      <c r="A490" s="7" t="s">
        <v>1296</v>
      </c>
      <c r="B490" s="7" t="s">
        <v>1417</v>
      </c>
      <c r="C490" s="7"/>
      <c r="D490" s="12" t="s">
        <v>1423</v>
      </c>
      <c r="E490" s="8" t="s">
        <v>82</v>
      </c>
      <c r="F490" s="13">
        <v>1E-3</v>
      </c>
      <c r="G490" s="12"/>
    </row>
    <row r="491" spans="1:7" ht="25.5" x14ac:dyDescent="0.25">
      <c r="A491" s="7" t="s">
        <v>1296</v>
      </c>
      <c r="B491" s="7" t="s">
        <v>1417</v>
      </c>
      <c r="C491" s="7"/>
      <c r="D491" s="12" t="s">
        <v>1424</v>
      </c>
      <c r="E491" s="8" t="s">
        <v>82</v>
      </c>
      <c r="F491" s="13">
        <v>1E-3</v>
      </c>
      <c r="G491" s="12"/>
    </row>
    <row r="492" spans="1:7" ht="25.5" x14ac:dyDescent="0.25">
      <c r="A492" s="7" t="s">
        <v>1296</v>
      </c>
      <c r="B492" s="7" t="s">
        <v>1417</v>
      </c>
      <c r="C492" s="7"/>
      <c r="D492" s="12" t="s">
        <v>1425</v>
      </c>
      <c r="E492" s="8" t="s">
        <v>82</v>
      </c>
      <c r="F492" s="13">
        <v>1E-3</v>
      </c>
      <c r="G492" s="12"/>
    </row>
    <row r="493" spans="1:7" ht="25.5" x14ac:dyDescent="0.25">
      <c r="A493" s="7" t="s">
        <v>1296</v>
      </c>
      <c r="B493" s="7" t="s">
        <v>1417</v>
      </c>
      <c r="C493" s="7"/>
      <c r="D493" s="12" t="s">
        <v>1426</v>
      </c>
      <c r="E493" s="8" t="s">
        <v>82</v>
      </c>
      <c r="F493" s="13">
        <v>1E-3</v>
      </c>
      <c r="G493" s="12"/>
    </row>
    <row r="494" spans="1:7" ht="25.5" x14ac:dyDescent="0.25">
      <c r="A494" s="7" t="s">
        <v>1296</v>
      </c>
      <c r="B494" s="7" t="s">
        <v>1417</v>
      </c>
      <c r="C494" s="7"/>
      <c r="D494" s="12" t="s">
        <v>1427</v>
      </c>
      <c r="E494" s="8" t="s">
        <v>82</v>
      </c>
      <c r="F494" s="13">
        <v>1E-3</v>
      </c>
      <c r="G494" s="12"/>
    </row>
    <row r="495" spans="1:7" ht="25.5" x14ac:dyDescent="0.25">
      <c r="A495" s="7" t="s">
        <v>1296</v>
      </c>
      <c r="B495" s="7" t="s">
        <v>1417</v>
      </c>
      <c r="C495" s="7"/>
      <c r="D495" s="12" t="s">
        <v>1428</v>
      </c>
      <c r="E495" s="8" t="s">
        <v>82</v>
      </c>
      <c r="F495" s="13">
        <v>1E-3</v>
      </c>
      <c r="G495" s="12"/>
    </row>
    <row r="496" spans="1:7" ht="25.5" x14ac:dyDescent="0.25">
      <c r="A496" s="7" t="s">
        <v>1296</v>
      </c>
      <c r="B496" s="7" t="s">
        <v>1417</v>
      </c>
      <c r="C496" s="7"/>
      <c r="D496" s="12" t="s">
        <v>1429</v>
      </c>
      <c r="E496" s="8" t="s">
        <v>82</v>
      </c>
      <c r="F496" s="13">
        <v>1E-3</v>
      </c>
      <c r="G496" s="12"/>
    </row>
    <row r="497" spans="1:7" ht="25.5" x14ac:dyDescent="0.25">
      <c r="A497" s="7" t="s">
        <v>1296</v>
      </c>
      <c r="B497" s="7" t="s">
        <v>1417</v>
      </c>
      <c r="C497" s="7"/>
      <c r="D497" s="12" t="s">
        <v>1430</v>
      </c>
      <c r="E497" s="8" t="s">
        <v>82</v>
      </c>
      <c r="F497" s="13">
        <v>1E-3</v>
      </c>
      <c r="G497" s="12"/>
    </row>
    <row r="498" spans="1:7" ht="25.5" x14ac:dyDescent="0.25">
      <c r="A498" s="7" t="s">
        <v>1296</v>
      </c>
      <c r="B498" s="7" t="s">
        <v>1417</v>
      </c>
      <c r="C498" s="7"/>
      <c r="D498" s="12" t="s">
        <v>1431</v>
      </c>
      <c r="E498" s="8" t="s">
        <v>82</v>
      </c>
      <c r="F498" s="13">
        <v>1E-3</v>
      </c>
      <c r="G498" s="12"/>
    </row>
    <row r="499" spans="1:7" ht="25.5" x14ac:dyDescent="0.25">
      <c r="A499" s="7" t="s">
        <v>1296</v>
      </c>
      <c r="B499" s="7" t="s">
        <v>1417</v>
      </c>
      <c r="C499" s="7"/>
      <c r="D499" s="12" t="s">
        <v>1432</v>
      </c>
      <c r="E499" s="8" t="s">
        <v>82</v>
      </c>
      <c r="F499" s="13">
        <v>1E-3</v>
      </c>
      <c r="G499" s="12"/>
    </row>
    <row r="500" spans="1:7" ht="25.5" x14ac:dyDescent="0.25">
      <c r="A500" s="7" t="s">
        <v>1296</v>
      </c>
      <c r="B500" s="7" t="s">
        <v>1417</v>
      </c>
      <c r="C500" s="7"/>
      <c r="D500" s="12" t="s">
        <v>1433</v>
      </c>
      <c r="E500" s="8" t="s">
        <v>82</v>
      </c>
      <c r="F500" s="13">
        <v>1E-3</v>
      </c>
      <c r="G500" s="12"/>
    </row>
    <row r="501" spans="1:7" ht="25.5" x14ac:dyDescent="0.25">
      <c r="A501" s="7" t="s">
        <v>1296</v>
      </c>
      <c r="B501" s="7" t="s">
        <v>1417</v>
      </c>
      <c r="C501" s="7"/>
      <c r="D501" s="12" t="s">
        <v>1434</v>
      </c>
      <c r="E501" s="8" t="s">
        <v>82</v>
      </c>
      <c r="F501" s="13">
        <v>1E-3</v>
      </c>
      <c r="G501" s="12"/>
    </row>
    <row r="502" spans="1:7" ht="25.5" x14ac:dyDescent="0.25">
      <c r="A502" s="7" t="s">
        <v>1296</v>
      </c>
      <c r="B502" s="7" t="s">
        <v>1417</v>
      </c>
      <c r="C502" s="7"/>
      <c r="D502" s="12" t="s">
        <v>1435</v>
      </c>
      <c r="E502" s="8" t="s">
        <v>82</v>
      </c>
      <c r="F502" s="13">
        <v>1E-3</v>
      </c>
      <c r="G502" s="12"/>
    </row>
    <row r="503" spans="1:7" ht="25.5" x14ac:dyDescent="0.25">
      <c r="A503" s="7" t="s">
        <v>1296</v>
      </c>
      <c r="B503" s="7" t="s">
        <v>1417</v>
      </c>
      <c r="C503" s="7"/>
      <c r="D503" s="12" t="s">
        <v>1436</v>
      </c>
      <c r="E503" s="8" t="s">
        <v>82</v>
      </c>
      <c r="F503" s="13">
        <v>1E-3</v>
      </c>
      <c r="G503" s="12"/>
    </row>
    <row r="504" spans="1:7" ht="25.5" x14ac:dyDescent="0.25">
      <c r="A504" s="7" t="s">
        <v>1296</v>
      </c>
      <c r="B504" s="7" t="s">
        <v>1417</v>
      </c>
      <c r="C504" s="7"/>
      <c r="D504" s="12" t="s">
        <v>1437</v>
      </c>
      <c r="E504" s="8" t="s">
        <v>82</v>
      </c>
      <c r="F504" s="13">
        <v>1E-3</v>
      </c>
      <c r="G504" s="12"/>
    </row>
    <row r="505" spans="1:7" ht="25.5" x14ac:dyDescent="0.25">
      <c r="A505" s="7" t="s">
        <v>1296</v>
      </c>
      <c r="B505" s="7" t="s">
        <v>1417</v>
      </c>
      <c r="C505" s="7"/>
      <c r="D505" s="12" t="s">
        <v>1438</v>
      </c>
      <c r="E505" s="8" t="s">
        <v>82</v>
      </c>
      <c r="F505" s="13">
        <v>2E-3</v>
      </c>
      <c r="G505" s="12"/>
    </row>
    <row r="506" spans="1:7" ht="25.5" x14ac:dyDescent="0.25">
      <c r="A506" s="7" t="s">
        <v>1296</v>
      </c>
      <c r="B506" s="7" t="s">
        <v>1417</v>
      </c>
      <c r="C506" s="7"/>
      <c r="D506" s="12" t="s">
        <v>1439</v>
      </c>
      <c r="E506" s="8" t="s">
        <v>82</v>
      </c>
      <c r="F506" s="13">
        <v>1E-3</v>
      </c>
      <c r="G506" s="12"/>
    </row>
    <row r="507" spans="1:7" ht="25.5" x14ac:dyDescent="0.25">
      <c r="A507" s="7" t="s">
        <v>1296</v>
      </c>
      <c r="B507" s="7" t="s">
        <v>1417</v>
      </c>
      <c r="C507" s="7"/>
      <c r="D507" s="12" t="s">
        <v>1440</v>
      </c>
      <c r="E507" s="8" t="s">
        <v>82</v>
      </c>
      <c r="F507" s="13">
        <v>1E-3</v>
      </c>
      <c r="G507" s="12"/>
    </row>
    <row r="508" spans="1:7" ht="25.5" x14ac:dyDescent="0.25">
      <c r="A508" s="7" t="s">
        <v>1296</v>
      </c>
      <c r="B508" s="7" t="s">
        <v>1417</v>
      </c>
      <c r="C508" s="7"/>
      <c r="D508" s="12" t="s">
        <v>1441</v>
      </c>
      <c r="E508" s="8" t="s">
        <v>82</v>
      </c>
      <c r="F508" s="13">
        <v>1E-3</v>
      </c>
      <c r="G508" s="12"/>
    </row>
    <row r="509" spans="1:7" x14ac:dyDescent="0.25">
      <c r="A509" s="7" t="s">
        <v>1296</v>
      </c>
      <c r="B509" s="7" t="s">
        <v>1417</v>
      </c>
      <c r="C509" s="7"/>
      <c r="D509" s="12" t="s">
        <v>1442</v>
      </c>
      <c r="E509" s="8" t="s">
        <v>82</v>
      </c>
      <c r="F509" s="13">
        <v>1E-3</v>
      </c>
      <c r="G509" s="12"/>
    </row>
    <row r="510" spans="1:7" x14ac:dyDescent="0.25">
      <c r="A510" s="7" t="s">
        <v>1296</v>
      </c>
      <c r="B510" s="7" t="s">
        <v>1417</v>
      </c>
      <c r="C510" s="7"/>
      <c r="D510" s="12" t="s">
        <v>1443</v>
      </c>
      <c r="E510" s="8" t="s">
        <v>82</v>
      </c>
      <c r="F510" s="13">
        <v>1E-3</v>
      </c>
      <c r="G510" s="12"/>
    </row>
    <row r="511" spans="1:7" x14ac:dyDescent="0.25">
      <c r="A511" s="7" t="s">
        <v>1296</v>
      </c>
      <c r="B511" s="7" t="s">
        <v>1417</v>
      </c>
      <c r="C511" s="7"/>
      <c r="D511" s="12" t="s">
        <v>1444</v>
      </c>
      <c r="E511" s="8" t="s">
        <v>82</v>
      </c>
      <c r="F511" s="13">
        <v>1E-3</v>
      </c>
      <c r="G511" s="12"/>
    </row>
    <row r="512" spans="1:7" x14ac:dyDescent="0.25">
      <c r="A512" s="7" t="s">
        <v>1296</v>
      </c>
      <c r="B512" s="7" t="s">
        <v>1417</v>
      </c>
      <c r="C512" s="7"/>
      <c r="D512" s="12" t="s">
        <v>1445</v>
      </c>
      <c r="E512" s="8" t="s">
        <v>82</v>
      </c>
      <c r="F512" s="13">
        <v>1E-3</v>
      </c>
      <c r="G512" s="12"/>
    </row>
    <row r="513" spans="1:7" x14ac:dyDescent="0.25">
      <c r="A513" s="7" t="s">
        <v>1296</v>
      </c>
      <c r="B513" s="7" t="s">
        <v>1417</v>
      </c>
      <c r="C513" s="7"/>
      <c r="D513" s="12" t="s">
        <v>1446</v>
      </c>
      <c r="E513" s="8" t="s">
        <v>82</v>
      </c>
      <c r="F513" s="13">
        <v>1E-3</v>
      </c>
      <c r="G513" s="12"/>
    </row>
    <row r="514" spans="1:7" x14ac:dyDescent="0.25">
      <c r="A514" s="7" t="s">
        <v>1296</v>
      </c>
      <c r="B514" s="7" t="s">
        <v>1417</v>
      </c>
      <c r="C514" s="7"/>
      <c r="D514" s="12" t="s">
        <v>1447</v>
      </c>
      <c r="E514" s="8" t="s">
        <v>82</v>
      </c>
      <c r="F514" s="13">
        <v>2E-3</v>
      </c>
      <c r="G514" s="12"/>
    </row>
    <row r="515" spans="1:7" x14ac:dyDescent="0.25">
      <c r="A515" s="7" t="s">
        <v>1296</v>
      </c>
      <c r="B515" s="7" t="s">
        <v>1417</v>
      </c>
      <c r="C515" s="7"/>
      <c r="D515" s="12" t="s">
        <v>1448</v>
      </c>
      <c r="E515" s="8" t="s">
        <v>82</v>
      </c>
      <c r="F515" s="13">
        <v>1E-3</v>
      </c>
      <c r="G515" s="12"/>
    </row>
    <row r="516" spans="1:7" x14ac:dyDescent="0.25">
      <c r="A516" s="7" t="s">
        <v>1296</v>
      </c>
      <c r="B516" s="7" t="s">
        <v>1417</v>
      </c>
      <c r="C516" s="7"/>
      <c r="D516" s="12" t="s">
        <v>1449</v>
      </c>
      <c r="E516" s="8" t="s">
        <v>82</v>
      </c>
      <c r="F516" s="13">
        <v>1E-3</v>
      </c>
      <c r="G516" s="12"/>
    </row>
    <row r="517" spans="1:7" x14ac:dyDescent="0.25">
      <c r="A517" s="7" t="s">
        <v>1296</v>
      </c>
      <c r="B517" s="7" t="s">
        <v>1417</v>
      </c>
      <c r="C517" s="7"/>
      <c r="D517" s="12" t="s">
        <v>1450</v>
      </c>
      <c r="E517" s="8" t="s">
        <v>82</v>
      </c>
      <c r="F517" s="13">
        <v>1E-3</v>
      </c>
      <c r="G517" s="12"/>
    </row>
    <row r="518" spans="1:7" x14ac:dyDescent="0.25">
      <c r="A518" s="7" t="s">
        <v>1451</v>
      </c>
      <c r="B518" s="7" t="s">
        <v>1452</v>
      </c>
      <c r="C518" s="7"/>
      <c r="D518" s="12" t="s">
        <v>1453</v>
      </c>
      <c r="E518" s="8" t="s">
        <v>82</v>
      </c>
      <c r="F518" s="13">
        <v>1.0999999999999999E-2</v>
      </c>
      <c r="G518" s="12"/>
    </row>
    <row r="519" spans="1:7" x14ac:dyDescent="0.25">
      <c r="A519" s="7" t="s">
        <v>1451</v>
      </c>
      <c r="B519" s="7" t="s">
        <v>1452</v>
      </c>
      <c r="C519" s="7"/>
      <c r="D519" s="12" t="s">
        <v>1454</v>
      </c>
      <c r="E519" s="8" t="s">
        <v>82</v>
      </c>
      <c r="F519" s="13">
        <v>0.01</v>
      </c>
      <c r="G519" s="12"/>
    </row>
    <row r="520" spans="1:7" x14ac:dyDescent="0.25">
      <c r="A520" s="7" t="s">
        <v>1451</v>
      </c>
      <c r="B520" s="7" t="s">
        <v>1452</v>
      </c>
      <c r="C520" s="7"/>
      <c r="D520" s="12" t="s">
        <v>1455</v>
      </c>
      <c r="E520" s="8" t="s">
        <v>82</v>
      </c>
      <c r="F520" s="13">
        <v>4.4999999999999998E-2</v>
      </c>
      <c r="G520" s="12"/>
    </row>
    <row r="521" spans="1:7" x14ac:dyDescent="0.25">
      <c r="A521" s="7" t="s">
        <v>1451</v>
      </c>
      <c r="B521" s="7" t="s">
        <v>1456</v>
      </c>
      <c r="C521" s="7"/>
      <c r="D521" s="12" t="s">
        <v>1457</v>
      </c>
      <c r="E521" s="8" t="s">
        <v>82</v>
      </c>
      <c r="F521" s="13">
        <v>2.3E-2</v>
      </c>
      <c r="G521" s="12"/>
    </row>
    <row r="522" spans="1:7" x14ac:dyDescent="0.25">
      <c r="A522" s="7" t="s">
        <v>1451</v>
      </c>
      <c r="B522" s="7" t="s">
        <v>1456</v>
      </c>
      <c r="C522" s="7"/>
      <c r="D522" s="12" t="s">
        <v>1458</v>
      </c>
      <c r="E522" s="8" t="s">
        <v>82</v>
      </c>
      <c r="F522" s="13">
        <v>2.1000000000000001E-2</v>
      </c>
      <c r="G522" s="12"/>
    </row>
    <row r="523" spans="1:7" x14ac:dyDescent="0.25">
      <c r="A523" s="7" t="s">
        <v>1451</v>
      </c>
      <c r="B523" s="7" t="s">
        <v>1456</v>
      </c>
      <c r="C523" s="7"/>
      <c r="D523" s="12" t="s">
        <v>1459</v>
      </c>
      <c r="E523" s="8" t="s">
        <v>82</v>
      </c>
      <c r="F523" s="13">
        <v>2.1999999999999999E-2</v>
      </c>
      <c r="G523" s="12"/>
    </row>
    <row r="524" spans="1:7" x14ac:dyDescent="0.25">
      <c r="A524" s="7" t="s">
        <v>1451</v>
      </c>
      <c r="B524" s="7" t="s">
        <v>1456</v>
      </c>
      <c r="C524" s="7"/>
      <c r="D524" s="12" t="s">
        <v>1460</v>
      </c>
      <c r="E524" s="8" t="s">
        <v>82</v>
      </c>
      <c r="F524" s="13">
        <v>2.9000000000000001E-2</v>
      </c>
      <c r="G524" s="12"/>
    </row>
    <row r="525" spans="1:7" x14ac:dyDescent="0.25">
      <c r="A525" s="7" t="s">
        <v>1451</v>
      </c>
      <c r="B525" s="7" t="s">
        <v>1456</v>
      </c>
      <c r="C525" s="7"/>
      <c r="D525" s="12" t="s">
        <v>1461</v>
      </c>
      <c r="E525" s="8" t="s">
        <v>82</v>
      </c>
      <c r="F525" s="13">
        <v>0.02</v>
      </c>
      <c r="G525" s="12"/>
    </row>
    <row r="526" spans="1:7" x14ac:dyDescent="0.25">
      <c r="A526" s="7" t="s">
        <v>1451</v>
      </c>
      <c r="B526" s="7" t="s">
        <v>1456</v>
      </c>
      <c r="C526" s="7"/>
      <c r="D526" s="12" t="s">
        <v>1462</v>
      </c>
      <c r="E526" s="8" t="s">
        <v>82</v>
      </c>
      <c r="F526" s="13">
        <v>2.9000000000000001E-2</v>
      </c>
      <c r="G526" s="12"/>
    </row>
    <row r="527" spans="1:7" x14ac:dyDescent="0.25">
      <c r="A527" s="7" t="s">
        <v>1451</v>
      </c>
      <c r="B527" s="7" t="s">
        <v>1456</v>
      </c>
      <c r="C527" s="7"/>
      <c r="D527" s="12" t="s">
        <v>1463</v>
      </c>
      <c r="E527" s="8" t="s">
        <v>82</v>
      </c>
      <c r="F527" s="13">
        <v>2.8000000000000001E-2</v>
      </c>
      <c r="G527" s="12"/>
    </row>
    <row r="528" spans="1:7" x14ac:dyDescent="0.25">
      <c r="A528" s="7" t="s">
        <v>1451</v>
      </c>
      <c r="B528" s="7" t="s">
        <v>1456</v>
      </c>
      <c r="C528" s="7"/>
      <c r="D528" s="12" t="s">
        <v>1464</v>
      </c>
      <c r="E528" s="8" t="s">
        <v>82</v>
      </c>
      <c r="F528" s="13">
        <v>1.4999999999999999E-2</v>
      </c>
      <c r="G528" s="12"/>
    </row>
    <row r="529" spans="1:7" x14ac:dyDescent="0.25">
      <c r="A529" s="7" t="s">
        <v>1451</v>
      </c>
      <c r="B529" s="7" t="s">
        <v>1456</v>
      </c>
      <c r="C529" s="7"/>
      <c r="D529" s="12" t="s">
        <v>1465</v>
      </c>
      <c r="E529" s="8" t="s">
        <v>82</v>
      </c>
      <c r="F529" s="13">
        <v>0.02</v>
      </c>
      <c r="G529" s="12"/>
    </row>
    <row r="530" spans="1:7" x14ac:dyDescent="0.25">
      <c r="A530" s="7" t="s">
        <v>1451</v>
      </c>
      <c r="B530" s="7" t="s">
        <v>1466</v>
      </c>
      <c r="C530" s="7"/>
      <c r="D530" s="12" t="s">
        <v>1467</v>
      </c>
      <c r="E530" s="8" t="s">
        <v>82</v>
      </c>
      <c r="F530" s="13">
        <v>1E-3</v>
      </c>
      <c r="G530" s="12"/>
    </row>
    <row r="531" spans="1:7" x14ac:dyDescent="0.25">
      <c r="A531" s="7" t="s">
        <v>1451</v>
      </c>
      <c r="B531" s="7" t="s">
        <v>1466</v>
      </c>
      <c r="C531" s="7"/>
      <c r="D531" s="12" t="s">
        <v>1468</v>
      </c>
      <c r="E531" s="8" t="s">
        <v>82</v>
      </c>
      <c r="F531" s="13">
        <v>2.1000000000000001E-2</v>
      </c>
      <c r="G531" s="12"/>
    </row>
    <row r="532" spans="1:7" x14ac:dyDescent="0.25">
      <c r="A532" s="7" t="s">
        <v>1451</v>
      </c>
      <c r="B532" s="7" t="s">
        <v>1466</v>
      </c>
      <c r="C532" s="7"/>
      <c r="D532" s="12" t="s">
        <v>1469</v>
      </c>
      <c r="E532" s="8" t="s">
        <v>82</v>
      </c>
      <c r="F532" s="13">
        <v>2.5999999999999999E-2</v>
      </c>
      <c r="G532" s="12"/>
    </row>
    <row r="533" spans="1:7" x14ac:dyDescent="0.25">
      <c r="A533" s="7" t="s">
        <v>1451</v>
      </c>
      <c r="B533" s="7" t="s">
        <v>1466</v>
      </c>
      <c r="C533" s="7"/>
      <c r="D533" s="12" t="s">
        <v>1470</v>
      </c>
      <c r="E533" s="8" t="s">
        <v>82</v>
      </c>
      <c r="F533" s="13">
        <v>3.2000000000000001E-2</v>
      </c>
      <c r="G533" s="12"/>
    </row>
    <row r="534" spans="1:7" x14ac:dyDescent="0.25">
      <c r="A534" s="7" t="s">
        <v>1451</v>
      </c>
      <c r="B534" s="7" t="s">
        <v>1466</v>
      </c>
      <c r="C534" s="7"/>
      <c r="D534" s="12" t="s">
        <v>1471</v>
      </c>
      <c r="E534" s="8" t="s">
        <v>82</v>
      </c>
      <c r="F534" s="13">
        <v>3.5000000000000003E-2</v>
      </c>
      <c r="G534" s="12"/>
    </row>
    <row r="535" spans="1:7" x14ac:dyDescent="0.25">
      <c r="A535" s="7" t="s">
        <v>1451</v>
      </c>
      <c r="B535" s="7" t="s">
        <v>1466</v>
      </c>
      <c r="C535" s="7"/>
      <c r="D535" s="12" t="s">
        <v>1472</v>
      </c>
      <c r="E535" s="8" t="s">
        <v>82</v>
      </c>
      <c r="F535" s="13">
        <v>2.4E-2</v>
      </c>
      <c r="G535" s="12"/>
    </row>
    <row r="536" spans="1:7" x14ac:dyDescent="0.25">
      <c r="A536" s="7" t="s">
        <v>1451</v>
      </c>
      <c r="B536" s="7" t="s">
        <v>1466</v>
      </c>
      <c r="C536" s="7"/>
      <c r="D536" s="12" t="s">
        <v>1473</v>
      </c>
      <c r="E536" s="8" t="s">
        <v>82</v>
      </c>
      <c r="F536" s="13">
        <v>5.3999999999999999E-2</v>
      </c>
      <c r="G536" s="12"/>
    </row>
    <row r="537" spans="1:7" x14ac:dyDescent="0.25">
      <c r="A537" s="7" t="s">
        <v>1451</v>
      </c>
      <c r="B537" s="7" t="s">
        <v>1466</v>
      </c>
      <c r="C537" s="7"/>
      <c r="D537" s="12" t="s">
        <v>1474</v>
      </c>
      <c r="E537" s="8" t="s">
        <v>82</v>
      </c>
      <c r="F537" s="13">
        <v>1.7000000000000001E-2</v>
      </c>
      <c r="G537" s="12"/>
    </row>
    <row r="538" spans="1:7" x14ac:dyDescent="0.25">
      <c r="A538" s="7" t="s">
        <v>1451</v>
      </c>
      <c r="B538" s="7" t="s">
        <v>1475</v>
      </c>
      <c r="C538" s="7"/>
      <c r="D538" s="12" t="s">
        <v>1476</v>
      </c>
      <c r="E538" s="8" t="s">
        <v>82</v>
      </c>
      <c r="F538" s="13">
        <v>1E-3</v>
      </c>
      <c r="G538" s="12"/>
    </row>
    <row r="539" spans="1:7" x14ac:dyDescent="0.25">
      <c r="A539" s="7" t="s">
        <v>1451</v>
      </c>
      <c r="B539" s="7" t="s">
        <v>1475</v>
      </c>
      <c r="C539" s="7"/>
      <c r="D539" s="12" t="s">
        <v>1477</v>
      </c>
      <c r="E539" s="8" t="s">
        <v>82</v>
      </c>
      <c r="F539" s="13">
        <v>1E-3</v>
      </c>
      <c r="G539" s="12"/>
    </row>
    <row r="540" spans="1:7" x14ac:dyDescent="0.25">
      <c r="A540" s="7" t="s">
        <v>1451</v>
      </c>
      <c r="B540" s="7" t="s">
        <v>1475</v>
      </c>
      <c r="C540" s="7"/>
      <c r="D540" s="12" t="s">
        <v>1478</v>
      </c>
      <c r="E540" s="8" t="s">
        <v>82</v>
      </c>
      <c r="F540" s="13">
        <v>1E-3</v>
      </c>
      <c r="G540" s="12"/>
    </row>
    <row r="541" spans="1:7" x14ac:dyDescent="0.25">
      <c r="A541" s="7" t="s">
        <v>1451</v>
      </c>
      <c r="B541" s="7" t="s">
        <v>1475</v>
      </c>
      <c r="C541" s="7"/>
      <c r="D541" s="12" t="s">
        <v>1479</v>
      </c>
      <c r="E541" s="8" t="s">
        <v>82</v>
      </c>
      <c r="F541" s="13">
        <v>1E-3</v>
      </c>
      <c r="G541" s="12"/>
    </row>
    <row r="542" spans="1:7" x14ac:dyDescent="0.25">
      <c r="A542" s="7" t="s">
        <v>1451</v>
      </c>
      <c r="B542" s="7" t="s">
        <v>1475</v>
      </c>
      <c r="C542" s="7"/>
      <c r="D542" s="12" t="s">
        <v>1480</v>
      </c>
      <c r="E542" s="8" t="s">
        <v>82</v>
      </c>
      <c r="F542" s="13">
        <v>1E-3</v>
      </c>
      <c r="G542" s="12"/>
    </row>
    <row r="543" spans="1:7" x14ac:dyDescent="0.25">
      <c r="A543" s="7" t="s">
        <v>1451</v>
      </c>
      <c r="B543" s="7" t="s">
        <v>1481</v>
      </c>
      <c r="C543" s="7"/>
      <c r="D543" s="12" t="s">
        <v>1482</v>
      </c>
      <c r="E543" s="8" t="s">
        <v>82</v>
      </c>
      <c r="F543" s="13">
        <v>1E-3</v>
      </c>
      <c r="G543" s="12"/>
    </row>
    <row r="544" spans="1:7" x14ac:dyDescent="0.25">
      <c r="A544" s="7" t="s">
        <v>1451</v>
      </c>
      <c r="B544" s="7" t="s">
        <v>1481</v>
      </c>
      <c r="C544" s="7"/>
      <c r="D544" s="12" t="s">
        <v>1483</v>
      </c>
      <c r="E544" s="8" t="s">
        <v>82</v>
      </c>
      <c r="F544" s="13">
        <v>1E-3</v>
      </c>
      <c r="G544" s="12"/>
    </row>
    <row r="545" spans="1:7" x14ac:dyDescent="0.25">
      <c r="A545" s="7" t="s">
        <v>1451</v>
      </c>
      <c r="B545" s="7" t="s">
        <v>1481</v>
      </c>
      <c r="C545" s="7"/>
      <c r="D545" s="12" t="s">
        <v>1484</v>
      </c>
      <c r="E545" s="8" t="s">
        <v>82</v>
      </c>
      <c r="F545" s="13">
        <v>1E-3</v>
      </c>
      <c r="G545" s="12"/>
    </row>
    <row r="546" spans="1:7" x14ac:dyDescent="0.25">
      <c r="A546" s="7" t="s">
        <v>1451</v>
      </c>
      <c r="B546" s="7" t="s">
        <v>1481</v>
      </c>
      <c r="C546" s="7"/>
      <c r="D546" s="12" t="s">
        <v>1485</v>
      </c>
      <c r="E546" s="8" t="s">
        <v>82</v>
      </c>
      <c r="F546" s="13">
        <v>1E-3</v>
      </c>
      <c r="G546" s="12"/>
    </row>
    <row r="547" spans="1:7" x14ac:dyDescent="0.25">
      <c r="A547" s="7" t="s">
        <v>1451</v>
      </c>
      <c r="B547" s="7" t="s">
        <v>1486</v>
      </c>
      <c r="C547" s="7"/>
      <c r="D547" s="12" t="s">
        <v>1487</v>
      </c>
      <c r="E547" s="8" t="s">
        <v>82</v>
      </c>
      <c r="F547" s="13">
        <v>1E-3</v>
      </c>
      <c r="G547" s="12"/>
    </row>
    <row r="548" spans="1:7" x14ac:dyDescent="0.25">
      <c r="A548" s="7" t="s">
        <v>1451</v>
      </c>
      <c r="B548" s="7" t="s">
        <v>1486</v>
      </c>
      <c r="C548" s="7"/>
      <c r="D548" s="12" t="s">
        <v>1488</v>
      </c>
      <c r="E548" s="8" t="s">
        <v>82</v>
      </c>
      <c r="F548" s="13">
        <v>1E-3</v>
      </c>
      <c r="G548" s="12"/>
    </row>
    <row r="549" spans="1:7" x14ac:dyDescent="0.25">
      <c r="A549" s="7" t="s">
        <v>1451</v>
      </c>
      <c r="B549" s="7" t="s">
        <v>1486</v>
      </c>
      <c r="C549" s="7"/>
      <c r="D549" s="12" t="s">
        <v>1489</v>
      </c>
      <c r="E549" s="8" t="s">
        <v>82</v>
      </c>
      <c r="F549" s="13">
        <v>1E-3</v>
      </c>
      <c r="G549" s="12"/>
    </row>
    <row r="550" spans="1:7" x14ac:dyDescent="0.25">
      <c r="A550" s="7" t="s">
        <v>1451</v>
      </c>
      <c r="B550" s="7" t="s">
        <v>1486</v>
      </c>
      <c r="C550" s="7"/>
      <c r="D550" s="12" t="s">
        <v>1490</v>
      </c>
      <c r="E550" s="8" t="s">
        <v>82</v>
      </c>
      <c r="F550" s="13">
        <v>1E-3</v>
      </c>
      <c r="G550" s="12"/>
    </row>
    <row r="551" spans="1:7" x14ac:dyDescent="0.25">
      <c r="A551" s="7" t="s">
        <v>1451</v>
      </c>
      <c r="B551" s="7" t="s">
        <v>1486</v>
      </c>
      <c r="C551" s="7"/>
      <c r="D551" s="12" t="s">
        <v>1491</v>
      </c>
      <c r="E551" s="8" t="s">
        <v>82</v>
      </c>
      <c r="F551" s="13">
        <v>1E-3</v>
      </c>
      <c r="G551" s="12"/>
    </row>
    <row r="552" spans="1:7" x14ac:dyDescent="0.25">
      <c r="A552" s="7" t="s">
        <v>1451</v>
      </c>
      <c r="B552" s="7" t="s">
        <v>1486</v>
      </c>
      <c r="C552" s="7"/>
      <c r="D552" s="12" t="s">
        <v>1492</v>
      </c>
      <c r="E552" s="8" t="s">
        <v>82</v>
      </c>
      <c r="F552" s="13">
        <v>1E-3</v>
      </c>
      <c r="G552" s="12"/>
    </row>
    <row r="553" spans="1:7" x14ac:dyDescent="0.25">
      <c r="A553" s="7" t="s">
        <v>1451</v>
      </c>
      <c r="B553" s="7" t="s">
        <v>1486</v>
      </c>
      <c r="C553" s="7"/>
      <c r="D553" s="12" t="s">
        <v>1493</v>
      </c>
      <c r="E553" s="8" t="s">
        <v>82</v>
      </c>
      <c r="F553" s="13">
        <v>1E-3</v>
      </c>
      <c r="G553" s="12"/>
    </row>
    <row r="554" spans="1:7" x14ac:dyDescent="0.25">
      <c r="A554" s="7" t="s">
        <v>1451</v>
      </c>
      <c r="B554" s="7" t="s">
        <v>1486</v>
      </c>
      <c r="C554" s="7"/>
      <c r="D554" s="12" t="s">
        <v>1494</v>
      </c>
      <c r="E554" s="8" t="s">
        <v>82</v>
      </c>
      <c r="F554" s="13">
        <v>2E-3</v>
      </c>
      <c r="G554" s="12"/>
    </row>
    <row r="555" spans="1:7" x14ac:dyDescent="0.25">
      <c r="A555" s="7" t="s">
        <v>1451</v>
      </c>
      <c r="B555" s="7" t="s">
        <v>1486</v>
      </c>
      <c r="C555" s="7"/>
      <c r="D555" s="12" t="s">
        <v>1495</v>
      </c>
      <c r="E555" s="8" t="s">
        <v>82</v>
      </c>
      <c r="F555" s="13">
        <v>1E-3</v>
      </c>
      <c r="G555" s="12"/>
    </row>
    <row r="556" spans="1:7" x14ac:dyDescent="0.25">
      <c r="A556" s="7" t="s">
        <v>1451</v>
      </c>
      <c r="B556" s="7" t="s">
        <v>1486</v>
      </c>
      <c r="C556" s="7"/>
      <c r="D556" s="12" t="s">
        <v>1496</v>
      </c>
      <c r="E556" s="8" t="s">
        <v>82</v>
      </c>
      <c r="F556" s="13">
        <v>2E-3</v>
      </c>
      <c r="G556" s="12"/>
    </row>
    <row r="557" spans="1:7" x14ac:dyDescent="0.25">
      <c r="A557" s="7" t="s">
        <v>1451</v>
      </c>
      <c r="B557" s="7" t="s">
        <v>1486</v>
      </c>
      <c r="C557" s="7"/>
      <c r="D557" s="12" t="s">
        <v>1497</v>
      </c>
      <c r="E557" s="8" t="s">
        <v>82</v>
      </c>
      <c r="F557" s="13">
        <v>2E-3</v>
      </c>
      <c r="G557" s="12"/>
    </row>
    <row r="558" spans="1:7" x14ac:dyDescent="0.25">
      <c r="A558" s="7" t="s">
        <v>1451</v>
      </c>
      <c r="B558" s="7" t="s">
        <v>1486</v>
      </c>
      <c r="C558" s="7"/>
      <c r="D558" s="12" t="s">
        <v>1498</v>
      </c>
      <c r="E558" s="8" t="s">
        <v>82</v>
      </c>
      <c r="F558" s="13">
        <v>2E-3</v>
      </c>
      <c r="G558" s="12"/>
    </row>
    <row r="559" spans="1:7" x14ac:dyDescent="0.25">
      <c r="A559" s="7" t="s">
        <v>1451</v>
      </c>
      <c r="B559" s="7" t="s">
        <v>1486</v>
      </c>
      <c r="C559" s="7"/>
      <c r="D559" s="12" t="s">
        <v>1499</v>
      </c>
      <c r="E559" s="8" t="s">
        <v>82</v>
      </c>
      <c r="F559" s="13">
        <v>2E-3</v>
      </c>
      <c r="G559" s="12"/>
    </row>
    <row r="560" spans="1:7" x14ac:dyDescent="0.25">
      <c r="A560" s="7" t="s">
        <v>1451</v>
      </c>
      <c r="B560" s="7" t="s">
        <v>1486</v>
      </c>
      <c r="C560" s="7"/>
      <c r="D560" s="12" t="s">
        <v>1500</v>
      </c>
      <c r="E560" s="8" t="s">
        <v>82</v>
      </c>
      <c r="F560" s="13">
        <v>1E-3</v>
      </c>
      <c r="G560" s="12"/>
    </row>
    <row r="561" spans="1:7" x14ac:dyDescent="0.25">
      <c r="A561" s="7" t="s">
        <v>1451</v>
      </c>
      <c r="B561" s="7" t="s">
        <v>1486</v>
      </c>
      <c r="C561" s="7"/>
      <c r="D561" s="12" t="s">
        <v>1501</v>
      </c>
      <c r="E561" s="8" t="s">
        <v>82</v>
      </c>
      <c r="F561" s="13">
        <v>2E-3</v>
      </c>
      <c r="G561" s="12"/>
    </row>
    <row r="562" spans="1:7" x14ac:dyDescent="0.25">
      <c r="A562" s="7" t="s">
        <v>1502</v>
      </c>
      <c r="B562" s="7" t="s">
        <v>1503</v>
      </c>
      <c r="C562" s="7"/>
      <c r="D562" s="12" t="s">
        <v>1504</v>
      </c>
      <c r="E562" s="8" t="s">
        <v>82</v>
      </c>
      <c r="F562" s="13">
        <v>3.0000000000000001E-3</v>
      </c>
      <c r="G562" s="12"/>
    </row>
    <row r="563" spans="1:7" x14ac:dyDescent="0.25">
      <c r="A563" s="7" t="s">
        <v>1502</v>
      </c>
      <c r="B563" s="7" t="s">
        <v>1503</v>
      </c>
      <c r="C563" s="7"/>
      <c r="D563" s="12" t="s">
        <v>1505</v>
      </c>
      <c r="E563" s="8" t="s">
        <v>82</v>
      </c>
      <c r="F563" s="13">
        <v>2E-3</v>
      </c>
      <c r="G563" s="12"/>
    </row>
    <row r="564" spans="1:7" x14ac:dyDescent="0.25">
      <c r="A564" s="7" t="s">
        <v>1502</v>
      </c>
      <c r="B564" s="7" t="s">
        <v>1503</v>
      </c>
      <c r="C564" s="7"/>
      <c r="D564" s="12" t="s">
        <v>1506</v>
      </c>
      <c r="E564" s="8" t="s">
        <v>82</v>
      </c>
      <c r="F564" s="13">
        <v>2E-3</v>
      </c>
      <c r="G564" s="12"/>
    </row>
    <row r="565" spans="1:7" x14ac:dyDescent="0.25">
      <c r="A565" s="7" t="s">
        <v>1502</v>
      </c>
      <c r="B565" s="7" t="s">
        <v>1503</v>
      </c>
      <c r="C565" s="7"/>
      <c r="D565" s="12" t="s">
        <v>1507</v>
      </c>
      <c r="E565" s="8" t="s">
        <v>82</v>
      </c>
      <c r="F565" s="13">
        <v>2E-3</v>
      </c>
      <c r="G565" s="12"/>
    </row>
    <row r="566" spans="1:7" x14ac:dyDescent="0.25">
      <c r="A566" s="7" t="s">
        <v>1502</v>
      </c>
      <c r="B566" s="7" t="s">
        <v>1503</v>
      </c>
      <c r="C566" s="7"/>
      <c r="D566" s="12" t="s">
        <v>1508</v>
      </c>
      <c r="E566" s="8" t="s">
        <v>82</v>
      </c>
      <c r="F566" s="13">
        <v>1E-3</v>
      </c>
      <c r="G566" s="12"/>
    </row>
    <row r="567" spans="1:7" ht="25.5" x14ac:dyDescent="0.25">
      <c r="A567" s="7" t="s">
        <v>1502</v>
      </c>
      <c r="B567" s="7" t="s">
        <v>1503</v>
      </c>
      <c r="C567" s="7"/>
      <c r="D567" s="12" t="s">
        <v>1509</v>
      </c>
      <c r="E567" s="8" t="s">
        <v>82</v>
      </c>
      <c r="F567" s="13">
        <v>2E-3</v>
      </c>
      <c r="G567" s="12"/>
    </row>
    <row r="568" spans="1:7" x14ac:dyDescent="0.25">
      <c r="A568" s="7" t="s">
        <v>1502</v>
      </c>
      <c r="B568" s="7" t="s">
        <v>1503</v>
      </c>
      <c r="C568" s="7"/>
      <c r="D568" s="12" t="s">
        <v>1510</v>
      </c>
      <c r="E568" s="8" t="s">
        <v>82</v>
      </c>
      <c r="F568" s="13">
        <v>2E-3</v>
      </c>
      <c r="G568" s="12"/>
    </row>
    <row r="569" spans="1:7" x14ac:dyDescent="0.25">
      <c r="A569" s="7" t="s">
        <v>1502</v>
      </c>
      <c r="B569" s="7" t="s">
        <v>1503</v>
      </c>
      <c r="C569" s="7"/>
      <c r="D569" s="12" t="s">
        <v>1511</v>
      </c>
      <c r="E569" s="8" t="s">
        <v>82</v>
      </c>
      <c r="F569" s="13">
        <v>3.0000000000000001E-3</v>
      </c>
      <c r="G569" s="12"/>
    </row>
    <row r="570" spans="1:7" x14ac:dyDescent="0.25">
      <c r="A570" s="7" t="s">
        <v>1502</v>
      </c>
      <c r="B570" s="7" t="s">
        <v>1503</v>
      </c>
      <c r="C570" s="7"/>
      <c r="D570" s="12" t="s">
        <v>1512</v>
      </c>
      <c r="E570" s="8" t="s">
        <v>82</v>
      </c>
      <c r="F570" s="13">
        <v>2E-3</v>
      </c>
      <c r="G570" s="12"/>
    </row>
    <row r="571" spans="1:7" x14ac:dyDescent="0.25">
      <c r="A571" s="7" t="s">
        <v>1502</v>
      </c>
      <c r="B571" s="7" t="s">
        <v>1513</v>
      </c>
      <c r="C571" s="7"/>
      <c r="D571" s="12" t="s">
        <v>1514</v>
      </c>
      <c r="E571" s="8" t="s">
        <v>82</v>
      </c>
      <c r="F571" s="13">
        <v>6.0000000000000001E-3</v>
      </c>
      <c r="G571" s="12"/>
    </row>
    <row r="572" spans="1:7" x14ac:dyDescent="0.25">
      <c r="A572" s="7" t="s">
        <v>1502</v>
      </c>
      <c r="B572" s="7" t="s">
        <v>1513</v>
      </c>
      <c r="C572" s="7"/>
      <c r="D572" s="12" t="s">
        <v>1515</v>
      </c>
      <c r="E572" s="8" t="s">
        <v>82</v>
      </c>
      <c r="F572" s="13">
        <v>1.9E-2</v>
      </c>
      <c r="G572" s="12"/>
    </row>
    <row r="573" spans="1:7" x14ac:dyDescent="0.25">
      <c r="A573" s="7" t="s">
        <v>1502</v>
      </c>
      <c r="B573" s="7" t="s">
        <v>1513</v>
      </c>
      <c r="C573" s="7"/>
      <c r="D573" s="12" t="s">
        <v>1516</v>
      </c>
      <c r="E573" s="8" t="s">
        <v>82</v>
      </c>
      <c r="F573" s="13">
        <v>5.0000000000000001E-3</v>
      </c>
      <c r="G573" s="12"/>
    </row>
    <row r="574" spans="1:7" x14ac:dyDescent="0.25">
      <c r="A574" s="7" t="s">
        <v>1502</v>
      </c>
      <c r="B574" s="7" t="s">
        <v>1513</v>
      </c>
      <c r="C574" s="7"/>
      <c r="D574" s="12" t="s">
        <v>1517</v>
      </c>
      <c r="E574" s="8" t="s">
        <v>82</v>
      </c>
      <c r="F574" s="13">
        <v>6.0000000000000001E-3</v>
      </c>
      <c r="G574" s="12"/>
    </row>
    <row r="575" spans="1:7" x14ac:dyDescent="0.25">
      <c r="A575" s="7" t="s">
        <v>1502</v>
      </c>
      <c r="B575" s="7" t="s">
        <v>1513</v>
      </c>
      <c r="C575" s="7"/>
      <c r="D575" s="12" t="s">
        <v>1518</v>
      </c>
      <c r="E575" s="8" t="s">
        <v>82</v>
      </c>
      <c r="F575" s="13">
        <v>2.1999999999999999E-2</v>
      </c>
      <c r="G575" s="12"/>
    </row>
    <row r="576" spans="1:7" ht="25.5" x14ac:dyDescent="0.25">
      <c r="A576" s="7" t="s">
        <v>1502</v>
      </c>
      <c r="B576" s="7" t="s">
        <v>1513</v>
      </c>
      <c r="C576" s="7"/>
      <c r="D576" s="12" t="s">
        <v>1519</v>
      </c>
      <c r="E576" s="8" t="s">
        <v>82</v>
      </c>
      <c r="F576" s="13">
        <v>1.2E-2</v>
      </c>
      <c r="G576" s="12"/>
    </row>
    <row r="577" spans="1:7" x14ac:dyDescent="0.25">
      <c r="A577" s="7" t="s">
        <v>1502</v>
      </c>
      <c r="B577" s="7" t="s">
        <v>1513</v>
      </c>
      <c r="C577" s="7"/>
      <c r="D577" s="12" t="s">
        <v>1520</v>
      </c>
      <c r="E577" s="8" t="s">
        <v>82</v>
      </c>
      <c r="F577" s="13">
        <v>8.0000000000000002E-3</v>
      </c>
      <c r="G577" s="12"/>
    </row>
    <row r="578" spans="1:7" x14ac:dyDescent="0.25">
      <c r="A578" s="7" t="s">
        <v>1502</v>
      </c>
      <c r="B578" s="7" t="s">
        <v>1513</v>
      </c>
      <c r="C578" s="7"/>
      <c r="D578" s="12" t="s">
        <v>1521</v>
      </c>
      <c r="E578" s="8" t="s">
        <v>82</v>
      </c>
      <c r="F578" s="13">
        <v>1.2999999999999999E-2</v>
      </c>
      <c r="G578" s="12"/>
    </row>
    <row r="579" spans="1:7" x14ac:dyDescent="0.25">
      <c r="A579" s="7" t="s">
        <v>1502</v>
      </c>
      <c r="B579" s="7" t="s">
        <v>1513</v>
      </c>
      <c r="C579" s="7"/>
      <c r="D579" s="12" t="s">
        <v>1522</v>
      </c>
      <c r="E579" s="8" t="s">
        <v>82</v>
      </c>
      <c r="F579" s="13">
        <v>6.0000000000000001E-3</v>
      </c>
      <c r="G579" s="12"/>
    </row>
    <row r="580" spans="1:7" x14ac:dyDescent="0.25">
      <c r="A580" s="7" t="s">
        <v>1502</v>
      </c>
      <c r="B580" s="7" t="s">
        <v>1513</v>
      </c>
      <c r="C580" s="7"/>
      <c r="D580" s="12" t="s">
        <v>1523</v>
      </c>
      <c r="E580" s="8" t="s">
        <v>82</v>
      </c>
      <c r="F580" s="13">
        <v>7.0000000000000001E-3</v>
      </c>
      <c r="G580" s="12"/>
    </row>
    <row r="581" spans="1:7" x14ac:dyDescent="0.25">
      <c r="A581" s="7" t="s">
        <v>1502</v>
      </c>
      <c r="B581" s="7" t="s">
        <v>1513</v>
      </c>
      <c r="C581" s="7"/>
      <c r="D581" s="12" t="s">
        <v>1524</v>
      </c>
      <c r="E581" s="8" t="s">
        <v>82</v>
      </c>
      <c r="F581" s="13">
        <v>7.0000000000000001E-3</v>
      </c>
      <c r="G581" s="12"/>
    </row>
    <row r="582" spans="1:7" x14ac:dyDescent="0.25">
      <c r="A582" s="7" t="s">
        <v>1502</v>
      </c>
      <c r="B582" s="7" t="s">
        <v>1513</v>
      </c>
      <c r="C582" s="7"/>
      <c r="D582" s="12" t="s">
        <v>1525</v>
      </c>
      <c r="E582" s="8" t="s">
        <v>82</v>
      </c>
      <c r="F582" s="13">
        <v>8.0000000000000002E-3</v>
      </c>
      <c r="G582" s="12"/>
    </row>
    <row r="583" spans="1:7" x14ac:dyDescent="0.25">
      <c r="A583" s="7" t="s">
        <v>1502</v>
      </c>
      <c r="B583" s="7" t="s">
        <v>1513</v>
      </c>
      <c r="C583" s="7"/>
      <c r="D583" s="12" t="s">
        <v>1526</v>
      </c>
      <c r="E583" s="8" t="s">
        <v>82</v>
      </c>
      <c r="F583" s="13">
        <v>1E-3</v>
      </c>
      <c r="G583" s="12"/>
    </row>
    <row r="584" spans="1:7" x14ac:dyDescent="0.25">
      <c r="A584" s="7" t="s">
        <v>1502</v>
      </c>
      <c r="B584" s="7" t="s">
        <v>1513</v>
      </c>
      <c r="C584" s="7"/>
      <c r="D584" s="12" t="s">
        <v>1527</v>
      </c>
      <c r="E584" s="8" t="s">
        <v>82</v>
      </c>
      <c r="F584" s="13">
        <v>1.4999999999999999E-2</v>
      </c>
      <c r="G584" s="12"/>
    </row>
    <row r="585" spans="1:7" x14ac:dyDescent="0.25">
      <c r="A585" s="7" t="s">
        <v>1502</v>
      </c>
      <c r="B585" s="7" t="s">
        <v>1513</v>
      </c>
      <c r="C585" s="7"/>
      <c r="D585" s="12" t="s">
        <v>1528</v>
      </c>
      <c r="E585" s="8" t="s">
        <v>82</v>
      </c>
      <c r="F585" s="13">
        <v>1E-3</v>
      </c>
      <c r="G585" s="12"/>
    </row>
    <row r="586" spans="1:7" x14ac:dyDescent="0.25">
      <c r="A586" s="7" t="s">
        <v>1502</v>
      </c>
      <c r="B586" s="7" t="s">
        <v>1513</v>
      </c>
      <c r="C586" s="7"/>
      <c r="D586" s="12" t="s">
        <v>1529</v>
      </c>
      <c r="E586" s="8" t="s">
        <v>82</v>
      </c>
      <c r="F586" s="13">
        <v>1E-3</v>
      </c>
      <c r="G586" s="12"/>
    </row>
    <row r="587" spans="1:7" x14ac:dyDescent="0.25">
      <c r="A587" s="7" t="s">
        <v>1502</v>
      </c>
      <c r="B587" s="7" t="s">
        <v>1513</v>
      </c>
      <c r="C587" s="7"/>
      <c r="D587" s="12" t="s">
        <v>1530</v>
      </c>
      <c r="E587" s="8" t="s">
        <v>82</v>
      </c>
      <c r="F587" s="13">
        <v>1E-3</v>
      </c>
      <c r="G587" s="12"/>
    </row>
    <row r="588" spans="1:7" x14ac:dyDescent="0.25">
      <c r="A588" s="7" t="s">
        <v>1502</v>
      </c>
      <c r="B588" s="7" t="s">
        <v>1513</v>
      </c>
      <c r="C588" s="7"/>
      <c r="D588" s="12" t="s">
        <v>1531</v>
      </c>
      <c r="E588" s="8" t="s">
        <v>82</v>
      </c>
      <c r="F588" s="13">
        <v>1E-3</v>
      </c>
      <c r="G588" s="12"/>
    </row>
    <row r="589" spans="1:7" x14ac:dyDescent="0.25">
      <c r="A589" s="7" t="s">
        <v>1502</v>
      </c>
      <c r="B589" s="7" t="s">
        <v>1513</v>
      </c>
      <c r="C589" s="7"/>
      <c r="D589" s="12" t="s">
        <v>1532</v>
      </c>
      <c r="E589" s="8" t="s">
        <v>82</v>
      </c>
      <c r="F589" s="13">
        <v>0.24299999999999999</v>
      </c>
      <c r="G589" s="12"/>
    </row>
    <row r="590" spans="1:7" x14ac:dyDescent="0.25">
      <c r="A590" s="7" t="s">
        <v>1502</v>
      </c>
      <c r="B590" s="7" t="s">
        <v>1513</v>
      </c>
      <c r="C590" s="7"/>
      <c r="D590" s="12" t="s">
        <v>1533</v>
      </c>
      <c r="E590" s="8" t="s">
        <v>82</v>
      </c>
      <c r="F590" s="13">
        <v>6.0000000000000001E-3</v>
      </c>
      <c r="G590" s="12"/>
    </row>
    <row r="591" spans="1:7" x14ac:dyDescent="0.25">
      <c r="A591" s="7" t="s">
        <v>1502</v>
      </c>
      <c r="B591" s="7" t="s">
        <v>1513</v>
      </c>
      <c r="C591" s="7"/>
      <c r="D591" s="12" t="s">
        <v>1534</v>
      </c>
      <c r="E591" s="8" t="s">
        <v>82</v>
      </c>
      <c r="F591" s="13">
        <v>0.01</v>
      </c>
      <c r="G591" s="12"/>
    </row>
    <row r="592" spans="1:7" x14ac:dyDescent="0.25">
      <c r="A592" s="7" t="s">
        <v>1502</v>
      </c>
      <c r="B592" s="7" t="s">
        <v>1535</v>
      </c>
      <c r="C592" s="7"/>
      <c r="D592" s="12" t="s">
        <v>1536</v>
      </c>
      <c r="E592" s="8" t="s">
        <v>82</v>
      </c>
      <c r="F592" s="13">
        <v>3.3000000000000002E-2</v>
      </c>
      <c r="G592" s="12"/>
    </row>
    <row r="593" spans="1:7" x14ac:dyDescent="0.25">
      <c r="A593" s="7" t="s">
        <v>1502</v>
      </c>
      <c r="B593" s="7" t="s">
        <v>1535</v>
      </c>
      <c r="C593" s="7"/>
      <c r="D593" s="12" t="s">
        <v>1537</v>
      </c>
      <c r="E593" s="8" t="s">
        <v>82</v>
      </c>
      <c r="F593" s="13">
        <v>5.0000000000000001E-3</v>
      </c>
      <c r="G593" s="12"/>
    </row>
    <row r="594" spans="1:7" x14ac:dyDescent="0.25">
      <c r="A594" s="7" t="s">
        <v>1502</v>
      </c>
      <c r="B594" s="7" t="s">
        <v>1535</v>
      </c>
      <c r="C594" s="7"/>
      <c r="D594" s="12" t="s">
        <v>1538</v>
      </c>
      <c r="E594" s="8" t="s">
        <v>82</v>
      </c>
      <c r="F594" s="13">
        <v>3.0000000000000001E-3</v>
      </c>
      <c r="G594" s="12"/>
    </row>
    <row r="595" spans="1:7" x14ac:dyDescent="0.25">
      <c r="A595" s="7" t="s">
        <v>1502</v>
      </c>
      <c r="B595" s="7" t="s">
        <v>1535</v>
      </c>
      <c r="C595" s="7"/>
      <c r="D595" s="12" t="s">
        <v>1539</v>
      </c>
      <c r="E595" s="8" t="s">
        <v>82</v>
      </c>
      <c r="F595" s="13">
        <v>4.0000000000000001E-3</v>
      </c>
      <c r="G595" s="12"/>
    </row>
    <row r="596" spans="1:7" x14ac:dyDescent="0.25">
      <c r="A596" s="7" t="s">
        <v>1502</v>
      </c>
      <c r="B596" s="7" t="s">
        <v>1535</v>
      </c>
      <c r="C596" s="7"/>
      <c r="D596" s="12" t="s">
        <v>1540</v>
      </c>
      <c r="E596" s="8" t="s">
        <v>82</v>
      </c>
      <c r="F596" s="13">
        <v>3.0000000000000001E-3</v>
      </c>
      <c r="G596" s="12"/>
    </row>
    <row r="597" spans="1:7" x14ac:dyDescent="0.25">
      <c r="A597" s="7" t="s">
        <v>1502</v>
      </c>
      <c r="B597" s="7" t="s">
        <v>1535</v>
      </c>
      <c r="C597" s="7"/>
      <c r="D597" s="12" t="s">
        <v>1541</v>
      </c>
      <c r="E597" s="8" t="s">
        <v>82</v>
      </c>
      <c r="F597" s="13">
        <v>1E-3</v>
      </c>
      <c r="G597" s="12"/>
    </row>
    <row r="598" spans="1:7" x14ac:dyDescent="0.25">
      <c r="A598" s="7" t="s">
        <v>1502</v>
      </c>
      <c r="B598" s="7" t="s">
        <v>1535</v>
      </c>
      <c r="C598" s="7"/>
      <c r="D598" s="12" t="s">
        <v>1542</v>
      </c>
      <c r="E598" s="8" t="s">
        <v>82</v>
      </c>
      <c r="F598" s="13">
        <v>1E-3</v>
      </c>
      <c r="G598" s="12"/>
    </row>
    <row r="599" spans="1:7" x14ac:dyDescent="0.25">
      <c r="A599" s="7" t="s">
        <v>1502</v>
      </c>
      <c r="B599" s="7" t="s">
        <v>1535</v>
      </c>
      <c r="C599" s="7"/>
      <c r="D599" s="12" t="s">
        <v>1543</v>
      </c>
      <c r="E599" s="8" t="s">
        <v>82</v>
      </c>
      <c r="F599" s="13">
        <v>1E-3</v>
      </c>
      <c r="G599" s="12"/>
    </row>
    <row r="600" spans="1:7" x14ac:dyDescent="0.25">
      <c r="A600" s="7" t="s">
        <v>1502</v>
      </c>
      <c r="B600" s="7" t="s">
        <v>1535</v>
      </c>
      <c r="C600" s="7"/>
      <c r="D600" s="12" t="s">
        <v>1544</v>
      </c>
      <c r="E600" s="8" t="s">
        <v>82</v>
      </c>
      <c r="F600" s="13">
        <v>1E-3</v>
      </c>
      <c r="G600" s="12"/>
    </row>
    <row r="601" spans="1:7" ht="25.5" x14ac:dyDescent="0.25">
      <c r="A601" s="7" t="s">
        <v>1502</v>
      </c>
      <c r="B601" s="7" t="s">
        <v>1535</v>
      </c>
      <c r="C601" s="7"/>
      <c r="D601" s="12" t="s">
        <v>1545</v>
      </c>
      <c r="E601" s="8" t="s">
        <v>82</v>
      </c>
      <c r="F601" s="13">
        <v>1E-3</v>
      </c>
      <c r="G601" s="12"/>
    </row>
    <row r="602" spans="1:7" x14ac:dyDescent="0.25">
      <c r="A602" s="7" t="s">
        <v>1502</v>
      </c>
      <c r="B602" s="7" t="s">
        <v>1535</v>
      </c>
      <c r="C602" s="7"/>
      <c r="D602" s="12" t="s">
        <v>1546</v>
      </c>
      <c r="E602" s="8" t="s">
        <v>82</v>
      </c>
      <c r="F602" s="13">
        <v>1E-3</v>
      </c>
      <c r="G602" s="12"/>
    </row>
    <row r="603" spans="1:7" ht="25.5" x14ac:dyDescent="0.25">
      <c r="A603" s="7" t="s">
        <v>1502</v>
      </c>
      <c r="B603" s="7" t="s">
        <v>1535</v>
      </c>
      <c r="C603" s="7"/>
      <c r="D603" s="12" t="s">
        <v>1547</v>
      </c>
      <c r="E603" s="8" t="s">
        <v>82</v>
      </c>
      <c r="F603" s="13">
        <v>1E-3</v>
      </c>
      <c r="G603" s="12"/>
    </row>
    <row r="604" spans="1:7" ht="38.25" x14ac:dyDescent="0.25">
      <c r="A604" s="7" t="s">
        <v>1502</v>
      </c>
      <c r="B604" s="7" t="s">
        <v>1535</v>
      </c>
      <c r="C604" s="7"/>
      <c r="D604" s="12" t="s">
        <v>1548</v>
      </c>
      <c r="E604" s="8" t="s">
        <v>82</v>
      </c>
      <c r="F604" s="13">
        <v>1E-3</v>
      </c>
      <c r="G604" s="12"/>
    </row>
    <row r="605" spans="1:7" x14ac:dyDescent="0.25">
      <c r="A605" s="7" t="s">
        <v>1502</v>
      </c>
      <c r="B605" s="7" t="s">
        <v>1535</v>
      </c>
      <c r="C605" s="7"/>
      <c r="D605" s="12" t="s">
        <v>1549</v>
      </c>
      <c r="E605" s="8" t="s">
        <v>82</v>
      </c>
      <c r="F605" s="13">
        <v>1E-3</v>
      </c>
      <c r="G605" s="12"/>
    </row>
    <row r="606" spans="1:7" x14ac:dyDescent="0.25">
      <c r="A606" s="7" t="s">
        <v>1502</v>
      </c>
      <c r="B606" s="7" t="s">
        <v>1535</v>
      </c>
      <c r="C606" s="7"/>
      <c r="D606" s="12" t="s">
        <v>1550</v>
      </c>
      <c r="E606" s="8" t="s">
        <v>82</v>
      </c>
      <c r="F606" s="13">
        <v>4.0000000000000001E-3</v>
      </c>
      <c r="G606" s="12"/>
    </row>
    <row r="607" spans="1:7" x14ac:dyDescent="0.25">
      <c r="A607" s="7" t="s">
        <v>1502</v>
      </c>
      <c r="B607" s="7" t="s">
        <v>1535</v>
      </c>
      <c r="C607" s="7"/>
      <c r="D607" s="12" t="s">
        <v>1551</v>
      </c>
      <c r="E607" s="8" t="s">
        <v>82</v>
      </c>
      <c r="F607" s="13">
        <v>3.0000000000000001E-3</v>
      </c>
      <c r="G607" s="12"/>
    </row>
    <row r="608" spans="1:7" x14ac:dyDescent="0.25">
      <c r="A608" s="7" t="s">
        <v>1502</v>
      </c>
      <c r="B608" s="7" t="s">
        <v>1535</v>
      </c>
      <c r="C608" s="7"/>
      <c r="D608" s="12" t="s">
        <v>1552</v>
      </c>
      <c r="E608" s="8" t="s">
        <v>82</v>
      </c>
      <c r="F608" s="13">
        <v>1E-3</v>
      </c>
      <c r="G608" s="12"/>
    </row>
    <row r="609" spans="1:7" x14ac:dyDescent="0.25">
      <c r="A609" s="7" t="s">
        <v>1502</v>
      </c>
      <c r="B609" s="7" t="s">
        <v>1535</v>
      </c>
      <c r="C609" s="7"/>
      <c r="D609" s="12" t="s">
        <v>1553</v>
      </c>
      <c r="E609" s="8" t="s">
        <v>82</v>
      </c>
      <c r="F609" s="13">
        <v>1E-3</v>
      </c>
      <c r="G609" s="12"/>
    </row>
    <row r="610" spans="1:7" x14ac:dyDescent="0.25">
      <c r="A610" s="7" t="s">
        <v>1502</v>
      </c>
      <c r="B610" s="7" t="s">
        <v>1535</v>
      </c>
      <c r="C610" s="7"/>
      <c r="D610" s="12" t="s">
        <v>1554</v>
      </c>
      <c r="E610" s="8" t="s">
        <v>82</v>
      </c>
      <c r="F610" s="13">
        <v>1E-3</v>
      </c>
      <c r="G610" s="12"/>
    </row>
    <row r="611" spans="1:7" x14ac:dyDescent="0.25">
      <c r="A611" s="7" t="s">
        <v>1502</v>
      </c>
      <c r="B611" s="7" t="s">
        <v>1535</v>
      </c>
      <c r="C611" s="7"/>
      <c r="D611" s="12" t="s">
        <v>1555</v>
      </c>
      <c r="E611" s="8" t="s">
        <v>82</v>
      </c>
      <c r="F611" s="13">
        <v>1E-3</v>
      </c>
      <c r="G611" s="12"/>
    </row>
    <row r="612" spans="1:7" x14ac:dyDescent="0.25">
      <c r="A612" s="7" t="s">
        <v>1502</v>
      </c>
      <c r="B612" s="7" t="s">
        <v>1556</v>
      </c>
      <c r="C612" s="7"/>
      <c r="D612" s="12" t="s">
        <v>1557</v>
      </c>
      <c r="E612" s="8" t="s">
        <v>82</v>
      </c>
      <c r="F612" s="13">
        <v>1E-3</v>
      </c>
      <c r="G612" s="12"/>
    </row>
    <row r="613" spans="1:7" x14ac:dyDescent="0.25">
      <c r="A613" s="7" t="s">
        <v>1502</v>
      </c>
      <c r="B613" s="7" t="s">
        <v>1556</v>
      </c>
      <c r="C613" s="7"/>
      <c r="D613" s="12" t="s">
        <v>1558</v>
      </c>
      <c r="E613" s="8" t="s">
        <v>82</v>
      </c>
      <c r="F613" s="13">
        <v>1E-3</v>
      </c>
      <c r="G613" s="12"/>
    </row>
    <row r="614" spans="1:7" x14ac:dyDescent="0.25">
      <c r="A614" s="7" t="s">
        <v>1502</v>
      </c>
      <c r="B614" s="7" t="s">
        <v>1556</v>
      </c>
      <c r="C614" s="7"/>
      <c r="D614" s="12" t="s">
        <v>1559</v>
      </c>
      <c r="E614" s="8" t="s">
        <v>82</v>
      </c>
      <c r="F614" s="13">
        <v>1E-3</v>
      </c>
      <c r="G614" s="12"/>
    </row>
    <row r="615" spans="1:7" x14ac:dyDescent="0.25">
      <c r="A615" s="7" t="s">
        <v>1502</v>
      </c>
      <c r="B615" s="7" t="s">
        <v>1556</v>
      </c>
      <c r="C615" s="7"/>
      <c r="D615" s="12" t="s">
        <v>1560</v>
      </c>
      <c r="E615" s="8" t="s">
        <v>82</v>
      </c>
      <c r="F615" s="13">
        <v>1E-3</v>
      </c>
      <c r="G615" s="12"/>
    </row>
    <row r="616" spans="1:7" x14ac:dyDescent="0.25">
      <c r="A616" s="7" t="s">
        <v>1502</v>
      </c>
      <c r="B616" s="7" t="s">
        <v>1556</v>
      </c>
      <c r="C616" s="7"/>
      <c r="D616" s="12" t="s">
        <v>1561</v>
      </c>
      <c r="E616" s="8" t="s">
        <v>82</v>
      </c>
      <c r="F616" s="13">
        <v>1E-3</v>
      </c>
      <c r="G616" s="12"/>
    </row>
    <row r="617" spans="1:7" ht="25.5" x14ac:dyDescent="0.25">
      <c r="A617" s="7" t="s">
        <v>1502</v>
      </c>
      <c r="B617" s="7" t="s">
        <v>1556</v>
      </c>
      <c r="C617" s="7"/>
      <c r="D617" s="12" t="s">
        <v>1562</v>
      </c>
      <c r="E617" s="8" t="s">
        <v>82</v>
      </c>
      <c r="F617" s="13">
        <v>1E-3</v>
      </c>
      <c r="G617" s="12"/>
    </row>
    <row r="618" spans="1:7" ht="25.5" x14ac:dyDescent="0.25">
      <c r="A618" s="7" t="s">
        <v>1502</v>
      </c>
      <c r="B618" s="7" t="s">
        <v>1556</v>
      </c>
      <c r="C618" s="7"/>
      <c r="D618" s="12" t="s">
        <v>1563</v>
      </c>
      <c r="E618" s="8" t="s">
        <v>82</v>
      </c>
      <c r="F618" s="13">
        <v>1E-3</v>
      </c>
      <c r="G618" s="12"/>
    </row>
    <row r="619" spans="1:7" x14ac:dyDescent="0.25">
      <c r="A619" s="7" t="s">
        <v>1502</v>
      </c>
      <c r="B619" s="7" t="s">
        <v>1556</v>
      </c>
      <c r="C619" s="7"/>
      <c r="D619" s="12" t="s">
        <v>1564</v>
      </c>
      <c r="E619" s="8" t="s">
        <v>82</v>
      </c>
      <c r="F619" s="13">
        <v>1E-3</v>
      </c>
      <c r="G619" s="12"/>
    </row>
    <row r="620" spans="1:7" x14ac:dyDescent="0.25">
      <c r="A620" s="7" t="s">
        <v>1502</v>
      </c>
      <c r="B620" s="7" t="s">
        <v>1556</v>
      </c>
      <c r="C620" s="7"/>
      <c r="D620" s="12" t="s">
        <v>1565</v>
      </c>
      <c r="E620" s="8" t="s">
        <v>82</v>
      </c>
      <c r="F620" s="13">
        <v>1E-3</v>
      </c>
      <c r="G620" s="12"/>
    </row>
    <row r="621" spans="1:7" x14ac:dyDescent="0.25">
      <c r="A621" s="7" t="s">
        <v>1502</v>
      </c>
      <c r="B621" s="7" t="s">
        <v>1556</v>
      </c>
      <c r="C621" s="7"/>
      <c r="D621" s="12" t="s">
        <v>1566</v>
      </c>
      <c r="E621" s="8" t="s">
        <v>82</v>
      </c>
      <c r="F621" s="13">
        <v>1E-3</v>
      </c>
      <c r="G621" s="12"/>
    </row>
    <row r="622" spans="1:7" x14ac:dyDescent="0.25">
      <c r="A622" s="7" t="s">
        <v>1502</v>
      </c>
      <c r="B622" s="7" t="s">
        <v>1556</v>
      </c>
      <c r="C622" s="7"/>
      <c r="D622" s="12" t="s">
        <v>1567</v>
      </c>
      <c r="E622" s="8" t="s">
        <v>82</v>
      </c>
      <c r="F622" s="13">
        <v>1E-3</v>
      </c>
      <c r="G622" s="12"/>
    </row>
    <row r="623" spans="1:7" x14ac:dyDescent="0.25">
      <c r="A623" s="7" t="s">
        <v>1502</v>
      </c>
      <c r="B623" s="7" t="s">
        <v>1556</v>
      </c>
      <c r="C623" s="7"/>
      <c r="D623" s="12" t="s">
        <v>1568</v>
      </c>
      <c r="E623" s="8" t="s">
        <v>82</v>
      </c>
      <c r="F623" s="13">
        <v>1E-3</v>
      </c>
      <c r="G623" s="12"/>
    </row>
    <row r="624" spans="1:7" x14ac:dyDescent="0.25">
      <c r="A624" s="7" t="s">
        <v>1502</v>
      </c>
      <c r="B624" s="7" t="s">
        <v>1556</v>
      </c>
      <c r="C624" s="7"/>
      <c r="D624" s="12" t="s">
        <v>1569</v>
      </c>
      <c r="E624" s="8" t="s">
        <v>82</v>
      </c>
      <c r="F624" s="13">
        <v>1E-3</v>
      </c>
      <c r="G624" s="12"/>
    </row>
    <row r="625" spans="1:7" x14ac:dyDescent="0.25">
      <c r="A625" s="7" t="s">
        <v>1502</v>
      </c>
      <c r="B625" s="7" t="s">
        <v>1556</v>
      </c>
      <c r="C625" s="7"/>
      <c r="D625" s="12" t="s">
        <v>1570</v>
      </c>
      <c r="E625" s="8" t="s">
        <v>82</v>
      </c>
      <c r="F625" s="13">
        <v>1E-3</v>
      </c>
      <c r="G625" s="12"/>
    </row>
    <row r="626" spans="1:7" x14ac:dyDescent="0.25">
      <c r="A626" s="7" t="s">
        <v>1502</v>
      </c>
      <c r="B626" s="7" t="s">
        <v>1556</v>
      </c>
      <c r="C626" s="7"/>
      <c r="D626" s="12" t="s">
        <v>1571</v>
      </c>
      <c r="E626" s="8" t="s">
        <v>82</v>
      </c>
      <c r="F626" s="13">
        <v>1E-3</v>
      </c>
      <c r="G626" s="12"/>
    </row>
    <row r="627" spans="1:7" x14ac:dyDescent="0.25">
      <c r="A627" s="7" t="s">
        <v>1502</v>
      </c>
      <c r="B627" s="7" t="s">
        <v>1556</v>
      </c>
      <c r="C627" s="7"/>
      <c r="D627" s="12" t="s">
        <v>1572</v>
      </c>
      <c r="E627" s="8" t="s">
        <v>82</v>
      </c>
      <c r="F627" s="13">
        <v>1E-3</v>
      </c>
      <c r="G627" s="12"/>
    </row>
    <row r="628" spans="1:7" x14ac:dyDescent="0.25">
      <c r="A628" s="7" t="s">
        <v>1502</v>
      </c>
      <c r="B628" s="7" t="s">
        <v>1556</v>
      </c>
      <c r="C628" s="7"/>
      <c r="D628" s="12" t="s">
        <v>1573</v>
      </c>
      <c r="E628" s="8" t="s">
        <v>82</v>
      </c>
      <c r="F628" s="13">
        <v>1E-3</v>
      </c>
      <c r="G628" s="12"/>
    </row>
    <row r="629" spans="1:7" x14ac:dyDescent="0.25">
      <c r="A629" s="7" t="s">
        <v>1502</v>
      </c>
      <c r="B629" s="7" t="s">
        <v>1556</v>
      </c>
      <c r="C629" s="7"/>
      <c r="D629" s="12" t="s">
        <v>1574</v>
      </c>
      <c r="E629" s="8" t="s">
        <v>82</v>
      </c>
      <c r="F629" s="13">
        <v>1E-3</v>
      </c>
      <c r="G629" s="12"/>
    </row>
    <row r="630" spans="1:7" x14ac:dyDescent="0.25">
      <c r="A630" s="7" t="s">
        <v>1502</v>
      </c>
      <c r="B630" s="7" t="s">
        <v>1556</v>
      </c>
      <c r="C630" s="7"/>
      <c r="D630" s="12" t="s">
        <v>1575</v>
      </c>
      <c r="E630" s="8" t="s">
        <v>82</v>
      </c>
      <c r="F630" s="13">
        <v>1E-3</v>
      </c>
      <c r="G630" s="12"/>
    </row>
    <row r="631" spans="1:7" x14ac:dyDescent="0.25">
      <c r="A631" s="7" t="s">
        <v>1502</v>
      </c>
      <c r="B631" s="7" t="s">
        <v>1556</v>
      </c>
      <c r="C631" s="7"/>
      <c r="D631" s="12" t="s">
        <v>1576</v>
      </c>
      <c r="E631" s="8" t="s">
        <v>82</v>
      </c>
      <c r="F631" s="13">
        <v>1E-3</v>
      </c>
      <c r="G631" s="12"/>
    </row>
    <row r="632" spans="1:7" x14ac:dyDescent="0.25">
      <c r="A632" s="7" t="s">
        <v>1502</v>
      </c>
      <c r="B632" s="7" t="s">
        <v>1556</v>
      </c>
      <c r="C632" s="7"/>
      <c r="D632" s="12" t="s">
        <v>1577</v>
      </c>
      <c r="E632" s="8" t="s">
        <v>82</v>
      </c>
      <c r="F632" s="13">
        <v>1E-3</v>
      </c>
      <c r="G632" s="12"/>
    </row>
    <row r="633" spans="1:7" x14ac:dyDescent="0.25">
      <c r="A633" s="7" t="s">
        <v>1502</v>
      </c>
      <c r="B633" s="7" t="s">
        <v>1556</v>
      </c>
      <c r="C633" s="7"/>
      <c r="D633" s="12" t="s">
        <v>1578</v>
      </c>
      <c r="E633" s="8" t="s">
        <v>82</v>
      </c>
      <c r="F633" s="13">
        <v>1E-3</v>
      </c>
      <c r="G633" s="12"/>
    </row>
    <row r="634" spans="1:7" x14ac:dyDescent="0.25">
      <c r="A634" s="7" t="s">
        <v>1502</v>
      </c>
      <c r="B634" s="7" t="s">
        <v>1579</v>
      </c>
      <c r="C634" s="7"/>
      <c r="D634" s="12" t="s">
        <v>1580</v>
      </c>
      <c r="E634" s="8" t="s">
        <v>82</v>
      </c>
      <c r="F634" s="13">
        <v>2.3E-2</v>
      </c>
      <c r="G634" s="12"/>
    </row>
    <row r="635" spans="1:7" x14ac:dyDescent="0.25">
      <c r="A635" s="7" t="s">
        <v>1502</v>
      </c>
      <c r="B635" s="7" t="s">
        <v>1579</v>
      </c>
      <c r="C635" s="7"/>
      <c r="D635" s="12" t="s">
        <v>1581</v>
      </c>
      <c r="E635" s="8" t="s">
        <v>82</v>
      </c>
      <c r="F635" s="13">
        <v>7.1999999999999995E-2</v>
      </c>
      <c r="G635" s="12"/>
    </row>
    <row r="636" spans="1:7" x14ac:dyDescent="0.25">
      <c r="A636" s="7" t="s">
        <v>1502</v>
      </c>
      <c r="B636" s="7" t="s">
        <v>1582</v>
      </c>
      <c r="C636" s="7"/>
      <c r="D636" s="12" t="s">
        <v>1583</v>
      </c>
      <c r="E636" s="8" t="s">
        <v>82</v>
      </c>
      <c r="F636" s="13">
        <v>1.2E-2</v>
      </c>
      <c r="G636" s="12"/>
    </row>
    <row r="637" spans="1:7" x14ac:dyDescent="0.25">
      <c r="A637" s="7" t="s">
        <v>1502</v>
      </c>
      <c r="B637" s="7" t="s">
        <v>1582</v>
      </c>
      <c r="C637" s="7"/>
      <c r="D637" s="12" t="s">
        <v>1584</v>
      </c>
      <c r="E637" s="8" t="s">
        <v>82</v>
      </c>
      <c r="F637" s="13">
        <v>5.0000000000000001E-3</v>
      </c>
      <c r="G637" s="12"/>
    </row>
    <row r="638" spans="1:7" x14ac:dyDescent="0.25">
      <c r="A638" s="7" t="s">
        <v>1502</v>
      </c>
      <c r="B638" s="7" t="s">
        <v>1582</v>
      </c>
      <c r="C638" s="7"/>
      <c r="D638" s="12" t="s">
        <v>1585</v>
      </c>
      <c r="E638" s="8" t="s">
        <v>82</v>
      </c>
      <c r="F638" s="13">
        <v>5.0000000000000001E-3</v>
      </c>
      <c r="G638" s="12"/>
    </row>
    <row r="639" spans="1:7" x14ac:dyDescent="0.25">
      <c r="A639" s="7" t="s">
        <v>1502</v>
      </c>
      <c r="B639" s="7" t="s">
        <v>1582</v>
      </c>
      <c r="C639" s="7"/>
      <c r="D639" s="12" t="s">
        <v>1586</v>
      </c>
      <c r="E639" s="8" t="s">
        <v>82</v>
      </c>
      <c r="F639" s="13">
        <v>5.0000000000000001E-3</v>
      </c>
      <c r="G639" s="12"/>
    </row>
    <row r="640" spans="1:7" x14ac:dyDescent="0.25">
      <c r="A640" s="7" t="s">
        <v>1502</v>
      </c>
      <c r="B640" s="7" t="s">
        <v>1582</v>
      </c>
      <c r="C640" s="7"/>
      <c r="D640" s="12" t="s">
        <v>1587</v>
      </c>
      <c r="E640" s="8" t="s">
        <v>82</v>
      </c>
      <c r="F640" s="13">
        <v>5.0000000000000001E-3</v>
      </c>
      <c r="G640" s="12"/>
    </row>
    <row r="641" spans="1:7" x14ac:dyDescent="0.25">
      <c r="A641" s="7" t="s">
        <v>1502</v>
      </c>
      <c r="B641" s="7" t="s">
        <v>1582</v>
      </c>
      <c r="C641" s="7"/>
      <c r="D641" s="12" t="s">
        <v>1588</v>
      </c>
      <c r="E641" s="8" t="s">
        <v>82</v>
      </c>
      <c r="F641" s="13">
        <v>5.0000000000000001E-3</v>
      </c>
      <c r="G641" s="12"/>
    </row>
    <row r="642" spans="1:7" x14ac:dyDescent="0.25">
      <c r="A642" s="7" t="s">
        <v>1502</v>
      </c>
      <c r="B642" s="7" t="s">
        <v>1582</v>
      </c>
      <c r="C642" s="7"/>
      <c r="D642" s="12" t="s">
        <v>1589</v>
      </c>
      <c r="E642" s="8" t="s">
        <v>82</v>
      </c>
      <c r="F642" s="13">
        <v>5.0000000000000001E-3</v>
      </c>
      <c r="G642" s="12"/>
    </row>
    <row r="643" spans="1:7" x14ac:dyDescent="0.25">
      <c r="A643" s="7" t="s">
        <v>1502</v>
      </c>
      <c r="B643" s="7" t="s">
        <v>1582</v>
      </c>
      <c r="C643" s="7"/>
      <c r="D643" s="12" t="s">
        <v>1590</v>
      </c>
      <c r="E643" s="8" t="s">
        <v>82</v>
      </c>
      <c r="F643" s="13">
        <v>1E-3</v>
      </c>
      <c r="G643" s="12"/>
    </row>
    <row r="644" spans="1:7" x14ac:dyDescent="0.25">
      <c r="A644" s="7" t="s">
        <v>1502</v>
      </c>
      <c r="B644" s="7" t="s">
        <v>1582</v>
      </c>
      <c r="C644" s="7"/>
      <c r="D644" s="12" t="s">
        <v>1591</v>
      </c>
      <c r="E644" s="8" t="s">
        <v>82</v>
      </c>
      <c r="F644" s="13">
        <v>0.01</v>
      </c>
      <c r="G644" s="12"/>
    </row>
    <row r="645" spans="1:7" x14ac:dyDescent="0.25">
      <c r="A645" s="7" t="s">
        <v>1502</v>
      </c>
      <c r="B645" s="7" t="s">
        <v>1582</v>
      </c>
      <c r="C645" s="7"/>
      <c r="D645" s="12" t="s">
        <v>1592</v>
      </c>
      <c r="E645" s="8" t="s">
        <v>82</v>
      </c>
      <c r="F645" s="13">
        <v>2E-3</v>
      </c>
      <c r="G645" s="12"/>
    </row>
    <row r="646" spans="1:7" x14ac:dyDescent="0.25">
      <c r="A646" s="7" t="s">
        <v>1502</v>
      </c>
      <c r="B646" s="7" t="s">
        <v>1593</v>
      </c>
      <c r="C646" s="7"/>
      <c r="D646" s="12" t="s">
        <v>1594</v>
      </c>
      <c r="E646" s="8" t="s">
        <v>82</v>
      </c>
      <c r="F646" s="13">
        <v>0.104</v>
      </c>
      <c r="G646" s="12"/>
    </row>
    <row r="647" spans="1:7" x14ac:dyDescent="0.25">
      <c r="A647" s="7" t="s">
        <v>1502</v>
      </c>
      <c r="B647" s="7" t="s">
        <v>1593</v>
      </c>
      <c r="C647" s="7"/>
      <c r="D647" s="12" t="s">
        <v>1595</v>
      </c>
      <c r="E647" s="8" t="s">
        <v>82</v>
      </c>
      <c r="F647" s="13">
        <v>7.0000000000000007E-2</v>
      </c>
      <c r="G647" s="12"/>
    </row>
    <row r="648" spans="1:7" x14ac:dyDescent="0.25">
      <c r="A648" s="7" t="s">
        <v>1502</v>
      </c>
      <c r="B648" s="7" t="s">
        <v>1593</v>
      </c>
      <c r="C648" s="7"/>
      <c r="D648" s="12" t="s">
        <v>1596</v>
      </c>
      <c r="E648" s="8" t="s">
        <v>82</v>
      </c>
      <c r="F648" s="13">
        <v>0.10100000000000001</v>
      </c>
      <c r="G648" s="12"/>
    </row>
    <row r="649" spans="1:7" x14ac:dyDescent="0.25">
      <c r="A649" s="7" t="s">
        <v>1502</v>
      </c>
      <c r="B649" s="7" t="s">
        <v>1593</v>
      </c>
      <c r="C649" s="7"/>
      <c r="D649" s="12" t="s">
        <v>1597</v>
      </c>
      <c r="E649" s="8" t="s">
        <v>82</v>
      </c>
      <c r="F649" s="13">
        <v>0.105</v>
      </c>
      <c r="G649" s="12"/>
    </row>
    <row r="650" spans="1:7" x14ac:dyDescent="0.25">
      <c r="A650" s="7" t="s">
        <v>1502</v>
      </c>
      <c r="B650" s="7" t="s">
        <v>1593</v>
      </c>
      <c r="C650" s="7"/>
      <c r="D650" s="12" t="s">
        <v>1598</v>
      </c>
      <c r="E650" s="8" t="s">
        <v>82</v>
      </c>
      <c r="F650" s="13">
        <v>9.5000000000000001E-2</v>
      </c>
      <c r="G650" s="12"/>
    </row>
    <row r="651" spans="1:7" x14ac:dyDescent="0.25">
      <c r="A651" s="7" t="s">
        <v>1502</v>
      </c>
      <c r="B651" s="7" t="s">
        <v>1593</v>
      </c>
      <c r="C651" s="7"/>
      <c r="D651" s="12" t="s">
        <v>1599</v>
      </c>
      <c r="E651" s="8" t="s">
        <v>82</v>
      </c>
      <c r="F651" s="13">
        <v>6.8000000000000005E-2</v>
      </c>
      <c r="G651" s="12"/>
    </row>
    <row r="652" spans="1:7" x14ac:dyDescent="0.25">
      <c r="A652" s="7" t="s">
        <v>1502</v>
      </c>
      <c r="B652" s="7" t="s">
        <v>1593</v>
      </c>
      <c r="C652" s="7"/>
      <c r="D652" s="12" t="s">
        <v>1600</v>
      </c>
      <c r="E652" s="8" t="s">
        <v>82</v>
      </c>
      <c r="F652" s="13">
        <v>7.4999999999999997E-2</v>
      </c>
      <c r="G652" s="12"/>
    </row>
    <row r="653" spans="1:7" x14ac:dyDescent="0.25">
      <c r="A653" s="7" t="s">
        <v>1502</v>
      </c>
      <c r="B653" s="7" t="s">
        <v>1593</v>
      </c>
      <c r="C653" s="7"/>
      <c r="D653" s="12" t="s">
        <v>1601</v>
      </c>
      <c r="E653" s="8" t="s">
        <v>82</v>
      </c>
      <c r="F653" s="13">
        <v>6.6000000000000003E-2</v>
      </c>
      <c r="G653" s="12"/>
    </row>
    <row r="654" spans="1:7" ht="25.5" x14ac:dyDescent="0.25">
      <c r="A654" s="7" t="s">
        <v>1502</v>
      </c>
      <c r="B654" s="7" t="s">
        <v>1593</v>
      </c>
      <c r="C654" s="7"/>
      <c r="D654" s="12" t="s">
        <v>1602</v>
      </c>
      <c r="E654" s="8" t="s">
        <v>82</v>
      </c>
      <c r="F654" s="13">
        <v>0.107</v>
      </c>
      <c r="G654" s="12"/>
    </row>
    <row r="655" spans="1:7" x14ac:dyDescent="0.25">
      <c r="A655" s="7" t="s">
        <v>1502</v>
      </c>
      <c r="B655" s="7" t="s">
        <v>1593</v>
      </c>
      <c r="C655" s="7"/>
      <c r="D655" s="12" t="s">
        <v>1603</v>
      </c>
      <c r="E655" s="8" t="s">
        <v>82</v>
      </c>
      <c r="F655" s="13">
        <v>0.106</v>
      </c>
      <c r="G655" s="12"/>
    </row>
    <row r="656" spans="1:7" x14ac:dyDescent="0.25">
      <c r="A656" s="7" t="s">
        <v>1502</v>
      </c>
      <c r="B656" s="7" t="s">
        <v>1593</v>
      </c>
      <c r="C656" s="7"/>
      <c r="D656" s="12" t="s">
        <v>1604</v>
      </c>
      <c r="E656" s="8" t="s">
        <v>82</v>
      </c>
      <c r="F656" s="13">
        <v>6.0999999999999999E-2</v>
      </c>
      <c r="G656" s="12"/>
    </row>
    <row r="657" spans="1:7" x14ac:dyDescent="0.25">
      <c r="A657" s="7" t="s">
        <v>1502</v>
      </c>
      <c r="B657" s="7" t="s">
        <v>1593</v>
      </c>
      <c r="C657" s="7"/>
      <c r="D657" s="12" t="s">
        <v>1605</v>
      </c>
      <c r="E657" s="8" t="s">
        <v>82</v>
      </c>
      <c r="F657" s="13">
        <v>3.3000000000000002E-2</v>
      </c>
      <c r="G657" s="12"/>
    </row>
    <row r="658" spans="1:7" x14ac:dyDescent="0.25">
      <c r="A658" s="7" t="s">
        <v>1502</v>
      </c>
      <c r="B658" s="7" t="s">
        <v>1593</v>
      </c>
      <c r="C658" s="7"/>
      <c r="D658" s="12" t="s">
        <v>1606</v>
      </c>
      <c r="E658" s="8" t="s">
        <v>82</v>
      </c>
      <c r="F658" s="13">
        <v>5.6000000000000001E-2</v>
      </c>
      <c r="G658" s="12"/>
    </row>
    <row r="659" spans="1:7" x14ac:dyDescent="0.25">
      <c r="A659" s="7" t="s">
        <v>1502</v>
      </c>
      <c r="B659" s="7" t="s">
        <v>1593</v>
      </c>
      <c r="C659" s="7"/>
      <c r="D659" s="12" t="s">
        <v>1607</v>
      </c>
      <c r="E659" s="8" t="s">
        <v>82</v>
      </c>
      <c r="F659" s="13">
        <v>6.3E-2</v>
      </c>
      <c r="G659" s="12"/>
    </row>
    <row r="660" spans="1:7" x14ac:dyDescent="0.25">
      <c r="A660" s="7" t="s">
        <v>1502</v>
      </c>
      <c r="B660" s="7" t="s">
        <v>1593</v>
      </c>
      <c r="C660" s="7"/>
      <c r="D660" s="12" t="s">
        <v>1608</v>
      </c>
      <c r="E660" s="8" t="s">
        <v>82</v>
      </c>
      <c r="F660" s="13">
        <v>4.4999999999999998E-2</v>
      </c>
      <c r="G660" s="12"/>
    </row>
    <row r="661" spans="1:7" x14ac:dyDescent="0.25">
      <c r="A661" s="7" t="s">
        <v>1502</v>
      </c>
      <c r="B661" s="7" t="s">
        <v>1593</v>
      </c>
      <c r="C661" s="7"/>
      <c r="D661" s="12" t="s">
        <v>1609</v>
      </c>
      <c r="E661" s="8" t="s">
        <v>82</v>
      </c>
      <c r="F661" s="13">
        <v>4.7E-2</v>
      </c>
      <c r="G661" s="12"/>
    </row>
    <row r="662" spans="1:7" ht="25.5" x14ac:dyDescent="0.25">
      <c r="A662" s="7" t="s">
        <v>1502</v>
      </c>
      <c r="B662" s="7" t="s">
        <v>1593</v>
      </c>
      <c r="C662" s="7"/>
      <c r="D662" s="12" t="s">
        <v>1610</v>
      </c>
      <c r="E662" s="8" t="s">
        <v>82</v>
      </c>
      <c r="F662" s="13">
        <v>1E-3</v>
      </c>
      <c r="G662" s="12"/>
    </row>
    <row r="663" spans="1:7" x14ac:dyDescent="0.25">
      <c r="A663" s="7" t="s">
        <v>1502</v>
      </c>
      <c r="B663" s="7" t="s">
        <v>1593</v>
      </c>
      <c r="C663" s="7"/>
      <c r="D663" s="12" t="s">
        <v>1611</v>
      </c>
      <c r="E663" s="8" t="s">
        <v>82</v>
      </c>
      <c r="F663" s="13">
        <v>1E-3</v>
      </c>
      <c r="G663" s="12"/>
    </row>
    <row r="664" spans="1:7" x14ac:dyDescent="0.25">
      <c r="A664" s="7" t="s">
        <v>1502</v>
      </c>
      <c r="B664" s="7" t="s">
        <v>1612</v>
      </c>
      <c r="C664" s="7"/>
      <c r="D664" s="12" t="s">
        <v>1613</v>
      </c>
      <c r="E664" s="8" t="s">
        <v>82</v>
      </c>
      <c r="F664" s="13">
        <v>1.0999999999999999E-2</v>
      </c>
      <c r="G664" s="12"/>
    </row>
    <row r="665" spans="1:7" x14ac:dyDescent="0.25">
      <c r="A665" s="7" t="s">
        <v>1502</v>
      </c>
      <c r="B665" s="7" t="s">
        <v>1612</v>
      </c>
      <c r="C665" s="7"/>
      <c r="D665" s="12" t="s">
        <v>1614</v>
      </c>
      <c r="E665" s="8" t="s">
        <v>82</v>
      </c>
      <c r="F665" s="13">
        <v>2E-3</v>
      </c>
      <c r="G665" s="12"/>
    </row>
    <row r="666" spans="1:7" x14ac:dyDescent="0.25">
      <c r="A666" s="7" t="s">
        <v>1502</v>
      </c>
      <c r="B666" s="7" t="s">
        <v>1612</v>
      </c>
      <c r="C666" s="7"/>
      <c r="D666" s="12" t="s">
        <v>1615</v>
      </c>
      <c r="E666" s="8" t="s">
        <v>82</v>
      </c>
      <c r="F666" s="13">
        <v>2E-3</v>
      </c>
      <c r="G666" s="12"/>
    </row>
    <row r="667" spans="1:7" x14ac:dyDescent="0.25">
      <c r="A667" s="7" t="s">
        <v>1502</v>
      </c>
      <c r="B667" s="7" t="s">
        <v>1612</v>
      </c>
      <c r="C667" s="7"/>
      <c r="D667" s="12" t="s">
        <v>1616</v>
      </c>
      <c r="E667" s="8" t="s">
        <v>82</v>
      </c>
      <c r="F667" s="13">
        <v>2E-3</v>
      </c>
      <c r="G667" s="12"/>
    </row>
    <row r="668" spans="1:7" x14ac:dyDescent="0.25">
      <c r="A668" s="7" t="s">
        <v>1502</v>
      </c>
      <c r="B668" s="7" t="s">
        <v>1612</v>
      </c>
      <c r="C668" s="7"/>
      <c r="D668" s="12" t="s">
        <v>1617</v>
      </c>
      <c r="E668" s="8" t="s">
        <v>82</v>
      </c>
      <c r="F668" s="13">
        <v>1E-3</v>
      </c>
      <c r="G668" s="12"/>
    </row>
    <row r="669" spans="1:7" x14ac:dyDescent="0.25">
      <c r="A669" s="7" t="s">
        <v>1502</v>
      </c>
      <c r="B669" s="7" t="s">
        <v>1612</v>
      </c>
      <c r="C669" s="7"/>
      <c r="D669" s="12" t="s">
        <v>1618</v>
      </c>
      <c r="E669" s="8" t="s">
        <v>82</v>
      </c>
      <c r="F669" s="13">
        <v>1E-3</v>
      </c>
      <c r="G669" s="12"/>
    </row>
    <row r="670" spans="1:7" x14ac:dyDescent="0.25">
      <c r="A670" s="7" t="s">
        <v>1502</v>
      </c>
      <c r="B670" s="7" t="s">
        <v>1612</v>
      </c>
      <c r="C670" s="7"/>
      <c r="D670" s="12" t="s">
        <v>1619</v>
      </c>
      <c r="E670" s="8" t="s">
        <v>82</v>
      </c>
      <c r="F670" s="13">
        <v>1E-3</v>
      </c>
      <c r="G670" s="12"/>
    </row>
    <row r="671" spans="1:7" ht="25.5" x14ac:dyDescent="0.25">
      <c r="A671" s="7" t="s">
        <v>1502</v>
      </c>
      <c r="B671" s="7" t="s">
        <v>1612</v>
      </c>
      <c r="C671" s="7"/>
      <c r="D671" s="12" t="s">
        <v>1620</v>
      </c>
      <c r="E671" s="8" t="s">
        <v>82</v>
      </c>
      <c r="F671" s="13">
        <v>1E-3</v>
      </c>
      <c r="G671" s="12"/>
    </row>
    <row r="672" spans="1:7" ht="25.5" x14ac:dyDescent="0.25">
      <c r="A672" s="7" t="s">
        <v>1502</v>
      </c>
      <c r="B672" s="7" t="s">
        <v>1612</v>
      </c>
      <c r="C672" s="7"/>
      <c r="D672" s="12" t="s">
        <v>1621</v>
      </c>
      <c r="E672" s="8" t="s">
        <v>82</v>
      </c>
      <c r="F672" s="13">
        <v>1E-3</v>
      </c>
      <c r="G672" s="12"/>
    </row>
    <row r="673" spans="1:7" ht="25.5" x14ac:dyDescent="0.25">
      <c r="A673" s="7" t="s">
        <v>1502</v>
      </c>
      <c r="B673" s="7" t="s">
        <v>1612</v>
      </c>
      <c r="C673" s="7"/>
      <c r="D673" s="12" t="s">
        <v>1622</v>
      </c>
      <c r="E673" s="8" t="s">
        <v>82</v>
      </c>
      <c r="F673" s="13">
        <v>1E-3</v>
      </c>
      <c r="G673" s="12"/>
    </row>
    <row r="674" spans="1:7" ht="25.5" x14ac:dyDescent="0.25">
      <c r="A674" s="7" t="s">
        <v>1502</v>
      </c>
      <c r="B674" s="7" t="s">
        <v>1612</v>
      </c>
      <c r="C674" s="7"/>
      <c r="D674" s="12" t="s">
        <v>1623</v>
      </c>
      <c r="E674" s="8" t="s">
        <v>82</v>
      </c>
      <c r="F674" s="13">
        <v>1E-3</v>
      </c>
      <c r="G674" s="12"/>
    </row>
    <row r="675" spans="1:7" ht="25.5" x14ac:dyDescent="0.25">
      <c r="A675" s="7" t="s">
        <v>1502</v>
      </c>
      <c r="B675" s="7" t="s">
        <v>1612</v>
      </c>
      <c r="C675" s="7"/>
      <c r="D675" s="12" t="s">
        <v>1624</v>
      </c>
      <c r="E675" s="8" t="s">
        <v>82</v>
      </c>
      <c r="F675" s="13">
        <v>1E-3</v>
      </c>
      <c r="G675" s="12"/>
    </row>
    <row r="676" spans="1:7" ht="25.5" x14ac:dyDescent="0.25">
      <c r="A676" s="7" t="s">
        <v>1502</v>
      </c>
      <c r="B676" s="7" t="s">
        <v>1612</v>
      </c>
      <c r="C676" s="7"/>
      <c r="D676" s="12" t="s">
        <v>1625</v>
      </c>
      <c r="E676" s="8" t="s">
        <v>82</v>
      </c>
      <c r="F676" s="13">
        <v>1E-3</v>
      </c>
      <c r="G676" s="12"/>
    </row>
    <row r="677" spans="1:7" x14ac:dyDescent="0.25">
      <c r="A677" s="7" t="s">
        <v>1502</v>
      </c>
      <c r="B677" s="7" t="s">
        <v>1612</v>
      </c>
      <c r="C677" s="7"/>
      <c r="D677" s="12" t="s">
        <v>1626</v>
      </c>
      <c r="E677" s="8" t="s">
        <v>82</v>
      </c>
      <c r="F677" s="13">
        <v>1E-3</v>
      </c>
      <c r="G677" s="12"/>
    </row>
    <row r="678" spans="1:7" x14ac:dyDescent="0.25">
      <c r="A678" s="7" t="s">
        <v>1502</v>
      </c>
      <c r="B678" s="7" t="s">
        <v>1612</v>
      </c>
      <c r="C678" s="7"/>
      <c r="D678" s="12" t="s">
        <v>1627</v>
      </c>
      <c r="E678" s="8" t="s">
        <v>82</v>
      </c>
      <c r="F678" s="13">
        <v>1E-3</v>
      </c>
      <c r="G678" s="12"/>
    </row>
    <row r="679" spans="1:7" x14ac:dyDescent="0.25">
      <c r="A679" s="7" t="s">
        <v>1502</v>
      </c>
      <c r="B679" s="7" t="s">
        <v>1612</v>
      </c>
      <c r="C679" s="7"/>
      <c r="D679" s="12" t="s">
        <v>1628</v>
      </c>
      <c r="E679" s="8" t="s">
        <v>82</v>
      </c>
      <c r="F679" s="13">
        <v>1E-3</v>
      </c>
      <c r="G679" s="12"/>
    </row>
    <row r="680" spans="1:7" x14ac:dyDescent="0.25">
      <c r="A680" s="7" t="s">
        <v>1502</v>
      </c>
      <c r="B680" s="7" t="s">
        <v>1612</v>
      </c>
      <c r="C680" s="7"/>
      <c r="D680" s="12" t="s">
        <v>1629</v>
      </c>
      <c r="E680" s="8" t="s">
        <v>82</v>
      </c>
      <c r="F680" s="13">
        <v>1E-3</v>
      </c>
      <c r="G680" s="12"/>
    </row>
    <row r="681" spans="1:7" x14ac:dyDescent="0.25">
      <c r="A681" s="7" t="s">
        <v>1502</v>
      </c>
      <c r="B681" s="7" t="s">
        <v>1612</v>
      </c>
      <c r="C681" s="7"/>
      <c r="D681" s="12" t="s">
        <v>1630</v>
      </c>
      <c r="E681" s="8" t="s">
        <v>82</v>
      </c>
      <c r="F681" s="13">
        <v>3.0000000000000001E-3</v>
      </c>
      <c r="G681" s="12"/>
    </row>
    <row r="682" spans="1:7" x14ac:dyDescent="0.25">
      <c r="A682" s="7" t="s">
        <v>1502</v>
      </c>
      <c r="B682" s="7" t="s">
        <v>1612</v>
      </c>
      <c r="C682" s="7"/>
      <c r="D682" s="12" t="s">
        <v>1631</v>
      </c>
      <c r="E682" s="8" t="s">
        <v>82</v>
      </c>
      <c r="F682" s="13">
        <v>3.0000000000000001E-3</v>
      </c>
      <c r="G682" s="12"/>
    </row>
    <row r="683" spans="1:7" x14ac:dyDescent="0.25">
      <c r="A683" s="7" t="s">
        <v>1502</v>
      </c>
      <c r="B683" s="7" t="s">
        <v>1612</v>
      </c>
      <c r="C683" s="7"/>
      <c r="D683" s="12" t="s">
        <v>1632</v>
      </c>
      <c r="E683" s="8" t="s">
        <v>82</v>
      </c>
      <c r="F683" s="13">
        <v>1E-3</v>
      </c>
      <c r="G683" s="12"/>
    </row>
    <row r="684" spans="1:7" x14ac:dyDescent="0.25">
      <c r="A684" s="7" t="s">
        <v>1502</v>
      </c>
      <c r="B684" s="7" t="s">
        <v>1612</v>
      </c>
      <c r="C684" s="7"/>
      <c r="D684" s="12" t="s">
        <v>1633</v>
      </c>
      <c r="E684" s="8" t="s">
        <v>82</v>
      </c>
      <c r="F684" s="13">
        <v>1E-3</v>
      </c>
      <c r="G684" s="12"/>
    </row>
    <row r="685" spans="1:7" x14ac:dyDescent="0.25">
      <c r="A685" s="7" t="s">
        <v>1502</v>
      </c>
      <c r="B685" s="7" t="s">
        <v>1612</v>
      </c>
      <c r="C685" s="7"/>
      <c r="D685" s="12" t="s">
        <v>1634</v>
      </c>
      <c r="E685" s="8" t="s">
        <v>82</v>
      </c>
      <c r="F685" s="13">
        <v>2E-3</v>
      </c>
      <c r="G685" s="12"/>
    </row>
    <row r="686" spans="1:7" x14ac:dyDescent="0.25">
      <c r="A686" s="7" t="s">
        <v>1502</v>
      </c>
      <c r="B686" s="7" t="s">
        <v>1612</v>
      </c>
      <c r="C686" s="7"/>
      <c r="D686" s="12" t="s">
        <v>1635</v>
      </c>
      <c r="E686" s="8" t="s">
        <v>82</v>
      </c>
      <c r="F686" s="13">
        <v>2E-3</v>
      </c>
      <c r="G686" s="12"/>
    </row>
    <row r="687" spans="1:7" ht="25.5" x14ac:dyDescent="0.25">
      <c r="A687" s="7" t="s">
        <v>1502</v>
      </c>
      <c r="B687" s="7" t="s">
        <v>1612</v>
      </c>
      <c r="C687" s="7"/>
      <c r="D687" s="12" t="s">
        <v>1636</v>
      </c>
      <c r="E687" s="8" t="s">
        <v>82</v>
      </c>
      <c r="F687" s="13">
        <v>1E-3</v>
      </c>
      <c r="G687" s="12"/>
    </row>
    <row r="688" spans="1:7" x14ac:dyDescent="0.25">
      <c r="A688" s="7" t="s">
        <v>1502</v>
      </c>
      <c r="B688" s="7" t="s">
        <v>1612</v>
      </c>
      <c r="C688" s="7"/>
      <c r="D688" s="12" t="s">
        <v>1637</v>
      </c>
      <c r="E688" s="8" t="s">
        <v>82</v>
      </c>
      <c r="F688" s="13">
        <v>1E-3</v>
      </c>
      <c r="G688" s="12"/>
    </row>
    <row r="689" spans="1:7" x14ac:dyDescent="0.25">
      <c r="A689" s="7" t="s">
        <v>1502</v>
      </c>
      <c r="B689" s="7" t="s">
        <v>1612</v>
      </c>
      <c r="C689" s="7"/>
      <c r="D689" s="12" t="s">
        <v>1638</v>
      </c>
      <c r="E689" s="8" t="s">
        <v>82</v>
      </c>
      <c r="F689" s="13">
        <v>1E-3</v>
      </c>
      <c r="G689" s="12"/>
    </row>
    <row r="690" spans="1:7" x14ac:dyDescent="0.25">
      <c r="A690" s="7" t="s">
        <v>1502</v>
      </c>
      <c r="B690" s="7" t="s">
        <v>1612</v>
      </c>
      <c r="C690" s="7"/>
      <c r="D690" s="12" t="s">
        <v>1639</v>
      </c>
      <c r="E690" s="8" t="s">
        <v>82</v>
      </c>
      <c r="F690" s="13">
        <v>1E-3</v>
      </c>
      <c r="G690" s="12"/>
    </row>
    <row r="691" spans="1:7" x14ac:dyDescent="0.25">
      <c r="A691" s="7" t="s">
        <v>1502</v>
      </c>
      <c r="B691" s="7" t="s">
        <v>1612</v>
      </c>
      <c r="C691" s="7"/>
      <c r="D691" s="12" t="s">
        <v>1640</v>
      </c>
      <c r="E691" s="8" t="s">
        <v>82</v>
      </c>
      <c r="F691" s="13">
        <v>1E-3</v>
      </c>
      <c r="G691" s="12"/>
    </row>
    <row r="692" spans="1:7" x14ac:dyDescent="0.25">
      <c r="A692" s="7" t="s">
        <v>1502</v>
      </c>
      <c r="B692" s="7" t="s">
        <v>1612</v>
      </c>
      <c r="C692" s="7"/>
      <c r="D692" s="12" t="s">
        <v>1641</v>
      </c>
      <c r="E692" s="8" t="s">
        <v>82</v>
      </c>
      <c r="F692" s="13">
        <v>1E-3</v>
      </c>
      <c r="G692" s="12"/>
    </row>
    <row r="693" spans="1:7" x14ac:dyDescent="0.25">
      <c r="A693" s="7" t="s">
        <v>1502</v>
      </c>
      <c r="B693" s="7" t="s">
        <v>1612</v>
      </c>
      <c r="C693" s="7"/>
      <c r="D693" s="12" t="s">
        <v>1642</v>
      </c>
      <c r="E693" s="8" t="s">
        <v>82</v>
      </c>
      <c r="F693" s="13">
        <v>2E-3</v>
      </c>
      <c r="G693" s="12"/>
    </row>
    <row r="694" spans="1:7" x14ac:dyDescent="0.25">
      <c r="A694" s="7" t="s">
        <v>1502</v>
      </c>
      <c r="B694" s="7" t="s">
        <v>1612</v>
      </c>
      <c r="C694" s="7"/>
      <c r="D694" s="12" t="s">
        <v>1643</v>
      </c>
      <c r="E694" s="8" t="s">
        <v>82</v>
      </c>
      <c r="F694" s="13">
        <v>3.0000000000000001E-3</v>
      </c>
      <c r="G694" s="12"/>
    </row>
    <row r="695" spans="1:7" x14ac:dyDescent="0.25">
      <c r="A695" s="7" t="s">
        <v>1502</v>
      </c>
      <c r="B695" s="7" t="s">
        <v>1612</v>
      </c>
      <c r="C695" s="7"/>
      <c r="D695" s="12" t="s">
        <v>1644</v>
      </c>
      <c r="E695" s="8" t="s">
        <v>82</v>
      </c>
      <c r="F695" s="13">
        <v>1E-3</v>
      </c>
      <c r="G695" s="12"/>
    </row>
    <row r="696" spans="1:7" x14ac:dyDescent="0.25">
      <c r="A696" s="7" t="s">
        <v>1502</v>
      </c>
      <c r="B696" s="7" t="s">
        <v>1612</v>
      </c>
      <c r="C696" s="7"/>
      <c r="D696" s="12" t="s">
        <v>1645</v>
      </c>
      <c r="E696" s="8" t="s">
        <v>82</v>
      </c>
      <c r="F696" s="13">
        <v>1E-3</v>
      </c>
      <c r="G696" s="12"/>
    </row>
    <row r="697" spans="1:7" x14ac:dyDescent="0.25">
      <c r="A697" s="7" t="s">
        <v>1502</v>
      </c>
      <c r="B697" s="7" t="s">
        <v>1612</v>
      </c>
      <c r="C697" s="7"/>
      <c r="D697" s="12" t="s">
        <v>1646</v>
      </c>
      <c r="E697" s="8" t="s">
        <v>82</v>
      </c>
      <c r="F697" s="13">
        <v>1E-3</v>
      </c>
      <c r="G697" s="12"/>
    </row>
    <row r="698" spans="1:7" x14ac:dyDescent="0.25">
      <c r="A698" s="7" t="s">
        <v>1502</v>
      </c>
      <c r="B698" s="7" t="s">
        <v>1612</v>
      </c>
      <c r="C698" s="7"/>
      <c r="D698" s="12" t="s">
        <v>1647</v>
      </c>
      <c r="E698" s="8" t="s">
        <v>82</v>
      </c>
      <c r="F698" s="13">
        <v>1E-3</v>
      </c>
      <c r="G698" s="12"/>
    </row>
    <row r="699" spans="1:7" ht="25.5" x14ac:dyDescent="0.25">
      <c r="A699" s="7" t="s">
        <v>1502</v>
      </c>
      <c r="B699" s="7" t="s">
        <v>1612</v>
      </c>
      <c r="C699" s="7"/>
      <c r="D699" s="12" t="s">
        <v>1648</v>
      </c>
      <c r="E699" s="8" t="s">
        <v>82</v>
      </c>
      <c r="F699" s="13">
        <v>1E-3</v>
      </c>
      <c r="G699" s="12"/>
    </row>
    <row r="700" spans="1:7" x14ac:dyDescent="0.25">
      <c r="A700" s="7" t="s">
        <v>1502</v>
      </c>
      <c r="B700" s="7" t="s">
        <v>1612</v>
      </c>
      <c r="C700" s="7"/>
      <c r="D700" s="12" t="s">
        <v>1649</v>
      </c>
      <c r="E700" s="8" t="s">
        <v>82</v>
      </c>
      <c r="F700" s="13">
        <v>1E-3</v>
      </c>
      <c r="G700" s="12"/>
    </row>
    <row r="701" spans="1:7" ht="38.25" x14ac:dyDescent="0.25">
      <c r="A701" s="7" t="s">
        <v>1502</v>
      </c>
      <c r="B701" s="7" t="s">
        <v>1612</v>
      </c>
      <c r="C701" s="7"/>
      <c r="D701" s="12" t="s">
        <v>1650</v>
      </c>
      <c r="E701" s="8" t="s">
        <v>82</v>
      </c>
      <c r="F701" s="13">
        <v>1E-3</v>
      </c>
      <c r="G701" s="12"/>
    </row>
    <row r="702" spans="1:7" x14ac:dyDescent="0.25">
      <c r="A702" s="7" t="s">
        <v>1502</v>
      </c>
      <c r="B702" s="7" t="s">
        <v>1612</v>
      </c>
      <c r="C702" s="7"/>
      <c r="D702" s="12" t="s">
        <v>1651</v>
      </c>
      <c r="E702" s="8" t="s">
        <v>82</v>
      </c>
      <c r="F702" s="13">
        <v>1E-3</v>
      </c>
      <c r="G702" s="12"/>
    </row>
    <row r="703" spans="1:7" x14ac:dyDescent="0.25">
      <c r="A703" s="7" t="s">
        <v>1502</v>
      </c>
      <c r="B703" s="7" t="s">
        <v>1612</v>
      </c>
      <c r="C703" s="7"/>
      <c r="D703" s="12" t="s">
        <v>1652</v>
      </c>
      <c r="E703" s="8" t="s">
        <v>82</v>
      </c>
      <c r="F703" s="13">
        <v>2E-3</v>
      </c>
      <c r="G703" s="12"/>
    </row>
    <row r="704" spans="1:7" x14ac:dyDescent="0.25">
      <c r="A704" s="7" t="s">
        <v>1502</v>
      </c>
      <c r="B704" s="7" t="s">
        <v>1612</v>
      </c>
      <c r="C704" s="7"/>
      <c r="D704" s="12" t="s">
        <v>1653</v>
      </c>
      <c r="E704" s="8" t="s">
        <v>82</v>
      </c>
      <c r="F704" s="13">
        <v>2E-3</v>
      </c>
      <c r="G704" s="12"/>
    </row>
    <row r="705" spans="1:7" x14ac:dyDescent="0.25">
      <c r="A705" s="7" t="s">
        <v>1502</v>
      </c>
      <c r="B705" s="7" t="s">
        <v>1612</v>
      </c>
      <c r="C705" s="7"/>
      <c r="D705" s="12" t="s">
        <v>1654</v>
      </c>
      <c r="E705" s="8" t="s">
        <v>82</v>
      </c>
      <c r="F705" s="13">
        <v>2E-3</v>
      </c>
      <c r="G705" s="12"/>
    </row>
    <row r="706" spans="1:7" x14ac:dyDescent="0.25">
      <c r="A706" s="7" t="s">
        <v>1502</v>
      </c>
      <c r="B706" s="7" t="s">
        <v>1612</v>
      </c>
      <c r="C706" s="7"/>
      <c r="D706" s="12" t="s">
        <v>1655</v>
      </c>
      <c r="E706" s="8" t="s">
        <v>82</v>
      </c>
      <c r="F706" s="13">
        <v>1E-3</v>
      </c>
      <c r="G706" s="12"/>
    </row>
    <row r="707" spans="1:7" x14ac:dyDescent="0.25">
      <c r="A707" s="7" t="s">
        <v>1502</v>
      </c>
      <c r="B707" s="7" t="s">
        <v>1612</v>
      </c>
      <c r="C707" s="7"/>
      <c r="D707" s="12" t="s">
        <v>1656</v>
      </c>
      <c r="E707" s="8" t="s">
        <v>82</v>
      </c>
      <c r="F707" s="13">
        <v>2E-3</v>
      </c>
      <c r="G707" s="12"/>
    </row>
    <row r="708" spans="1:7" x14ac:dyDescent="0.25">
      <c r="A708" s="7" t="s">
        <v>1502</v>
      </c>
      <c r="B708" s="7" t="s">
        <v>1612</v>
      </c>
      <c r="C708" s="7"/>
      <c r="D708" s="12" t="s">
        <v>1657</v>
      </c>
      <c r="E708" s="8" t="s">
        <v>82</v>
      </c>
      <c r="F708" s="13">
        <v>2E-3</v>
      </c>
      <c r="G708" s="12"/>
    </row>
    <row r="709" spans="1:7" x14ac:dyDescent="0.25">
      <c r="A709" s="7" t="s">
        <v>1502</v>
      </c>
      <c r="B709" s="7" t="s">
        <v>1612</v>
      </c>
      <c r="C709" s="7"/>
      <c r="D709" s="12" t="s">
        <v>1658</v>
      </c>
      <c r="E709" s="8" t="s">
        <v>82</v>
      </c>
      <c r="F709" s="13">
        <v>1E-3</v>
      </c>
      <c r="G709" s="12"/>
    </row>
    <row r="710" spans="1:7" x14ac:dyDescent="0.25">
      <c r="A710" s="7" t="s">
        <v>1502</v>
      </c>
      <c r="B710" s="7" t="s">
        <v>1612</v>
      </c>
      <c r="C710" s="7"/>
      <c r="D710" s="12" t="s">
        <v>1659</v>
      </c>
      <c r="E710" s="8" t="s">
        <v>82</v>
      </c>
      <c r="F710" s="13">
        <v>1E-3</v>
      </c>
      <c r="G710" s="12"/>
    </row>
    <row r="711" spans="1:7" x14ac:dyDescent="0.25">
      <c r="A711" s="7" t="s">
        <v>1502</v>
      </c>
      <c r="B711" s="7" t="s">
        <v>1612</v>
      </c>
      <c r="C711" s="7"/>
      <c r="D711" s="12" t="s">
        <v>1660</v>
      </c>
      <c r="E711" s="8" t="s">
        <v>82</v>
      </c>
      <c r="F711" s="13">
        <v>1E-3</v>
      </c>
      <c r="G711" s="12"/>
    </row>
    <row r="712" spans="1:7" x14ac:dyDescent="0.25">
      <c r="A712" s="7" t="s">
        <v>1502</v>
      </c>
      <c r="B712" s="7" t="s">
        <v>1612</v>
      </c>
      <c r="C712" s="7"/>
      <c r="D712" s="12" t="s">
        <v>1661</v>
      </c>
      <c r="E712" s="8" t="s">
        <v>82</v>
      </c>
      <c r="F712" s="13">
        <v>1E-3</v>
      </c>
      <c r="G712" s="12"/>
    </row>
    <row r="713" spans="1:7" x14ac:dyDescent="0.25">
      <c r="A713" s="7" t="s">
        <v>1502</v>
      </c>
      <c r="B713" s="7" t="s">
        <v>1612</v>
      </c>
      <c r="C713" s="7"/>
      <c r="D713" s="12" t="s">
        <v>1662</v>
      </c>
      <c r="E713" s="8" t="s">
        <v>82</v>
      </c>
      <c r="F713" s="13">
        <v>1E-3</v>
      </c>
      <c r="G713" s="12"/>
    </row>
    <row r="714" spans="1:7" x14ac:dyDescent="0.25">
      <c r="A714" s="7" t="s">
        <v>1502</v>
      </c>
      <c r="B714" s="7" t="s">
        <v>1612</v>
      </c>
      <c r="C714" s="7"/>
      <c r="D714" s="12" t="s">
        <v>1663</v>
      </c>
      <c r="E714" s="8" t="s">
        <v>82</v>
      </c>
      <c r="F714" s="13">
        <v>1E-3</v>
      </c>
      <c r="G714" s="12"/>
    </row>
    <row r="715" spans="1:7" x14ac:dyDescent="0.25">
      <c r="A715" s="7" t="s">
        <v>1502</v>
      </c>
      <c r="B715" s="7" t="s">
        <v>1612</v>
      </c>
      <c r="C715" s="7"/>
      <c r="D715" s="12" t="s">
        <v>1664</v>
      </c>
      <c r="E715" s="8" t="s">
        <v>82</v>
      </c>
      <c r="F715" s="13">
        <v>1E-3</v>
      </c>
      <c r="G715" s="12"/>
    </row>
    <row r="716" spans="1:7" x14ac:dyDescent="0.25">
      <c r="A716" s="7" t="s">
        <v>1502</v>
      </c>
      <c r="B716" s="7" t="s">
        <v>1612</v>
      </c>
      <c r="C716" s="7"/>
      <c r="D716" s="12" t="s">
        <v>1665</v>
      </c>
      <c r="E716" s="8" t="s">
        <v>82</v>
      </c>
      <c r="F716" s="13">
        <v>1E-3</v>
      </c>
      <c r="G716" s="12"/>
    </row>
    <row r="717" spans="1:7" x14ac:dyDescent="0.25">
      <c r="A717" s="7" t="s">
        <v>1502</v>
      </c>
      <c r="B717" s="7" t="s">
        <v>1612</v>
      </c>
      <c r="C717" s="7"/>
      <c r="D717" s="12" t="s">
        <v>1666</v>
      </c>
      <c r="E717" s="8" t="s">
        <v>82</v>
      </c>
      <c r="F717" s="13">
        <v>1E-3</v>
      </c>
      <c r="G717" s="12"/>
    </row>
    <row r="718" spans="1:7" x14ac:dyDescent="0.25">
      <c r="A718" s="7" t="s">
        <v>1502</v>
      </c>
      <c r="B718" s="7" t="s">
        <v>1612</v>
      </c>
      <c r="C718" s="7"/>
      <c r="D718" s="12" t="s">
        <v>1667</v>
      </c>
      <c r="E718" s="8" t="s">
        <v>82</v>
      </c>
      <c r="F718" s="13">
        <v>1E-3</v>
      </c>
      <c r="G718" s="12"/>
    </row>
    <row r="719" spans="1:7" x14ac:dyDescent="0.25">
      <c r="A719" s="7" t="s">
        <v>1502</v>
      </c>
      <c r="B719" s="7" t="s">
        <v>1612</v>
      </c>
      <c r="C719" s="7"/>
      <c r="D719" s="12" t="s">
        <v>1668</v>
      </c>
      <c r="E719" s="8" t="s">
        <v>82</v>
      </c>
      <c r="F719" s="13">
        <v>1E-3</v>
      </c>
      <c r="G719" s="12"/>
    </row>
    <row r="720" spans="1:7" x14ac:dyDescent="0.25">
      <c r="A720" s="7" t="s">
        <v>1502</v>
      </c>
      <c r="B720" s="7" t="s">
        <v>1612</v>
      </c>
      <c r="C720" s="7"/>
      <c r="D720" s="12" t="s">
        <v>1669</v>
      </c>
      <c r="E720" s="8" t="s">
        <v>82</v>
      </c>
      <c r="F720" s="13">
        <v>1E-3</v>
      </c>
      <c r="G720" s="12"/>
    </row>
    <row r="721" spans="1:7" x14ac:dyDescent="0.25">
      <c r="A721" s="7" t="s">
        <v>1502</v>
      </c>
      <c r="B721" s="7" t="s">
        <v>1612</v>
      </c>
      <c r="C721" s="7"/>
      <c r="D721" s="12" t="s">
        <v>1670</v>
      </c>
      <c r="E721" s="8" t="s">
        <v>82</v>
      </c>
      <c r="F721" s="13">
        <v>1E-3</v>
      </c>
      <c r="G721" s="12"/>
    </row>
    <row r="722" spans="1:7" x14ac:dyDescent="0.25">
      <c r="A722" s="7" t="s">
        <v>1502</v>
      </c>
      <c r="B722" s="7" t="s">
        <v>1612</v>
      </c>
      <c r="C722" s="7"/>
      <c r="D722" s="12" t="s">
        <v>1671</v>
      </c>
      <c r="E722" s="8" t="s">
        <v>82</v>
      </c>
      <c r="F722" s="13">
        <v>1E-3</v>
      </c>
      <c r="G722" s="12"/>
    </row>
    <row r="723" spans="1:7" x14ac:dyDescent="0.25">
      <c r="A723" s="7" t="s">
        <v>1502</v>
      </c>
      <c r="B723" s="7" t="s">
        <v>1612</v>
      </c>
      <c r="C723" s="7"/>
      <c r="D723" s="12" t="s">
        <v>1672</v>
      </c>
      <c r="E723" s="8" t="s">
        <v>82</v>
      </c>
      <c r="F723" s="13">
        <v>1E-3</v>
      </c>
      <c r="G723" s="12"/>
    </row>
    <row r="724" spans="1:7" x14ac:dyDescent="0.25">
      <c r="A724" s="7" t="s">
        <v>1502</v>
      </c>
      <c r="B724" s="7" t="s">
        <v>1612</v>
      </c>
      <c r="C724" s="7"/>
      <c r="D724" s="12" t="s">
        <v>1673</v>
      </c>
      <c r="E724" s="8" t="s">
        <v>82</v>
      </c>
      <c r="F724" s="13">
        <v>1E-3</v>
      </c>
      <c r="G724" s="12"/>
    </row>
    <row r="725" spans="1:7" x14ac:dyDescent="0.25">
      <c r="A725" s="7" t="s">
        <v>1502</v>
      </c>
      <c r="B725" s="7" t="s">
        <v>1612</v>
      </c>
      <c r="C725" s="7"/>
      <c r="D725" s="12" t="s">
        <v>1674</v>
      </c>
      <c r="E725" s="8" t="s">
        <v>82</v>
      </c>
      <c r="F725" s="13">
        <v>1E-3</v>
      </c>
      <c r="G725" s="12"/>
    </row>
    <row r="726" spans="1:7" x14ac:dyDescent="0.25">
      <c r="A726" s="7" t="s">
        <v>1502</v>
      </c>
      <c r="B726" s="7" t="s">
        <v>1612</v>
      </c>
      <c r="C726" s="7"/>
      <c r="D726" s="12" t="s">
        <v>1675</v>
      </c>
      <c r="E726" s="8" t="s">
        <v>82</v>
      </c>
      <c r="F726" s="13">
        <v>1E-3</v>
      </c>
      <c r="G726" s="12"/>
    </row>
    <row r="727" spans="1:7" x14ac:dyDescent="0.25">
      <c r="A727" s="7" t="s">
        <v>1502</v>
      </c>
      <c r="B727" s="7" t="s">
        <v>1612</v>
      </c>
      <c r="C727" s="7"/>
      <c r="D727" s="12" t="s">
        <v>1676</v>
      </c>
      <c r="E727" s="8" t="s">
        <v>82</v>
      </c>
      <c r="F727" s="13">
        <v>1E-3</v>
      </c>
      <c r="G727" s="12"/>
    </row>
    <row r="728" spans="1:7" x14ac:dyDescent="0.25">
      <c r="A728" s="7" t="s">
        <v>1502</v>
      </c>
      <c r="B728" s="7" t="s">
        <v>1612</v>
      </c>
      <c r="C728" s="7"/>
      <c r="D728" s="12" t="s">
        <v>1677</v>
      </c>
      <c r="E728" s="8" t="s">
        <v>82</v>
      </c>
      <c r="F728" s="13">
        <v>2E-3</v>
      </c>
      <c r="G728" s="12"/>
    </row>
    <row r="729" spans="1:7" ht="25.5" x14ac:dyDescent="0.25">
      <c r="A729" s="7" t="s">
        <v>1502</v>
      </c>
      <c r="B729" s="7" t="s">
        <v>1612</v>
      </c>
      <c r="C729" s="7"/>
      <c r="D729" s="12" t="s">
        <v>1678</v>
      </c>
      <c r="E729" s="8" t="s">
        <v>82</v>
      </c>
      <c r="F729" s="13">
        <v>1E-3</v>
      </c>
      <c r="G729" s="12"/>
    </row>
    <row r="730" spans="1:7" ht="25.5" x14ac:dyDescent="0.25">
      <c r="A730" s="7" t="s">
        <v>1502</v>
      </c>
      <c r="B730" s="7" t="s">
        <v>1612</v>
      </c>
      <c r="C730" s="7"/>
      <c r="D730" s="12" t="s">
        <v>1679</v>
      </c>
      <c r="E730" s="8" t="s">
        <v>82</v>
      </c>
      <c r="F730" s="13">
        <v>1E-3</v>
      </c>
      <c r="G730" s="12"/>
    </row>
    <row r="731" spans="1:7" ht="25.5" x14ac:dyDescent="0.25">
      <c r="A731" s="7" t="s">
        <v>1502</v>
      </c>
      <c r="B731" s="7" t="s">
        <v>1612</v>
      </c>
      <c r="C731" s="7"/>
      <c r="D731" s="12" t="s">
        <v>1680</v>
      </c>
      <c r="E731" s="8" t="s">
        <v>82</v>
      </c>
      <c r="F731" s="13">
        <v>1E-3</v>
      </c>
      <c r="G731" s="12"/>
    </row>
    <row r="732" spans="1:7" x14ac:dyDescent="0.25">
      <c r="A732" s="7" t="s">
        <v>1502</v>
      </c>
      <c r="B732" s="7" t="s">
        <v>1612</v>
      </c>
      <c r="C732" s="7"/>
      <c r="D732" s="12" t="s">
        <v>1681</v>
      </c>
      <c r="E732" s="8" t="s">
        <v>82</v>
      </c>
      <c r="F732" s="13">
        <v>1E-3</v>
      </c>
      <c r="G732" s="12"/>
    </row>
    <row r="733" spans="1:7" x14ac:dyDescent="0.25">
      <c r="A733" s="7" t="s">
        <v>1502</v>
      </c>
      <c r="B733" s="7" t="s">
        <v>1612</v>
      </c>
      <c r="C733" s="7"/>
      <c r="D733" s="12" t="s">
        <v>1682</v>
      </c>
      <c r="E733" s="8" t="s">
        <v>82</v>
      </c>
      <c r="F733" s="13">
        <v>1E-3</v>
      </c>
      <c r="G733" s="12"/>
    </row>
    <row r="734" spans="1:7" x14ac:dyDescent="0.25">
      <c r="A734" s="7" t="s">
        <v>1502</v>
      </c>
      <c r="B734" s="7" t="s">
        <v>1612</v>
      </c>
      <c r="C734" s="7"/>
      <c r="D734" s="12" t="s">
        <v>1683</v>
      </c>
      <c r="E734" s="8" t="s">
        <v>82</v>
      </c>
      <c r="F734" s="13">
        <v>1E-3</v>
      </c>
      <c r="G734" s="12"/>
    </row>
    <row r="735" spans="1:7" x14ac:dyDescent="0.25">
      <c r="A735" s="7" t="s">
        <v>1502</v>
      </c>
      <c r="B735" s="7" t="s">
        <v>1612</v>
      </c>
      <c r="C735" s="7"/>
      <c r="D735" s="12" t="s">
        <v>1684</v>
      </c>
      <c r="E735" s="8" t="s">
        <v>82</v>
      </c>
      <c r="F735" s="13">
        <v>1E-3</v>
      </c>
      <c r="G735" s="12"/>
    </row>
    <row r="736" spans="1:7" x14ac:dyDescent="0.25">
      <c r="A736" s="7" t="s">
        <v>1502</v>
      </c>
      <c r="B736" s="7" t="s">
        <v>1612</v>
      </c>
      <c r="C736" s="7"/>
      <c r="D736" s="12" t="s">
        <v>1685</v>
      </c>
      <c r="E736" s="8" t="s">
        <v>82</v>
      </c>
      <c r="F736" s="13">
        <v>1E-3</v>
      </c>
      <c r="G736" s="12"/>
    </row>
    <row r="737" spans="1:7" x14ac:dyDescent="0.25">
      <c r="A737" s="7" t="s">
        <v>1502</v>
      </c>
      <c r="B737" s="7" t="s">
        <v>1612</v>
      </c>
      <c r="C737" s="7"/>
      <c r="D737" s="12" t="s">
        <v>1686</v>
      </c>
      <c r="E737" s="8" t="s">
        <v>82</v>
      </c>
      <c r="F737" s="13">
        <v>1E-3</v>
      </c>
      <c r="G737" s="12"/>
    </row>
    <row r="738" spans="1:7" ht="51" x14ac:dyDescent="0.25">
      <c r="A738" s="7" t="s">
        <v>1502</v>
      </c>
      <c r="B738" s="7" t="s">
        <v>1612</v>
      </c>
      <c r="C738" s="7"/>
      <c r="D738" s="12" t="s">
        <v>1687</v>
      </c>
      <c r="E738" s="8" t="s">
        <v>82</v>
      </c>
      <c r="F738" s="13">
        <v>1E-3</v>
      </c>
      <c r="G738" s="12"/>
    </row>
    <row r="739" spans="1:7" ht="51" x14ac:dyDescent="0.25">
      <c r="A739" s="7" t="s">
        <v>1502</v>
      </c>
      <c r="B739" s="7" t="s">
        <v>1612</v>
      </c>
      <c r="C739" s="7"/>
      <c r="D739" s="12" t="s">
        <v>1688</v>
      </c>
      <c r="E739" s="8" t="s">
        <v>82</v>
      </c>
      <c r="F739" s="13">
        <v>1E-3</v>
      </c>
      <c r="G739" s="12"/>
    </row>
    <row r="740" spans="1:7" x14ac:dyDescent="0.25">
      <c r="A740" s="7" t="s">
        <v>1502</v>
      </c>
      <c r="B740" s="7" t="s">
        <v>1612</v>
      </c>
      <c r="C740" s="7"/>
      <c r="D740" s="12" t="s">
        <v>1689</v>
      </c>
      <c r="E740" s="8" t="s">
        <v>82</v>
      </c>
      <c r="F740" s="13">
        <v>1E-3</v>
      </c>
      <c r="G740" s="12"/>
    </row>
    <row r="741" spans="1:7" x14ac:dyDescent="0.25">
      <c r="A741" s="7" t="s">
        <v>1502</v>
      </c>
      <c r="B741" s="7" t="s">
        <v>1612</v>
      </c>
      <c r="C741" s="7"/>
      <c r="D741" s="12" t="s">
        <v>1690</v>
      </c>
      <c r="E741" s="8" t="s">
        <v>82</v>
      </c>
      <c r="F741" s="13">
        <v>1E-3</v>
      </c>
      <c r="G741" s="12"/>
    </row>
    <row r="742" spans="1:7" x14ac:dyDescent="0.25">
      <c r="A742" s="7" t="s">
        <v>1502</v>
      </c>
      <c r="B742" s="7" t="s">
        <v>1612</v>
      </c>
      <c r="C742" s="7"/>
      <c r="D742" s="12" t="s">
        <v>1691</v>
      </c>
      <c r="E742" s="8" t="s">
        <v>82</v>
      </c>
      <c r="F742" s="13">
        <v>1E-3</v>
      </c>
      <c r="G742" s="12"/>
    </row>
    <row r="743" spans="1:7" x14ac:dyDescent="0.25">
      <c r="A743" s="7" t="s">
        <v>1502</v>
      </c>
      <c r="B743" s="7" t="s">
        <v>1692</v>
      </c>
      <c r="C743" s="7"/>
      <c r="D743" s="12" t="s">
        <v>1693</v>
      </c>
      <c r="E743" s="8" t="s">
        <v>82</v>
      </c>
      <c r="F743" s="13">
        <v>2.5000000000000001E-2</v>
      </c>
      <c r="G743" s="12"/>
    </row>
    <row r="744" spans="1:7" x14ac:dyDescent="0.25">
      <c r="A744" s="7" t="s">
        <v>1502</v>
      </c>
      <c r="B744" s="7" t="s">
        <v>1692</v>
      </c>
      <c r="C744" s="7"/>
      <c r="D744" s="12" t="s">
        <v>1694</v>
      </c>
      <c r="E744" s="8" t="s">
        <v>82</v>
      </c>
      <c r="F744" s="13">
        <v>2E-3</v>
      </c>
      <c r="G744" s="12"/>
    </row>
    <row r="745" spans="1:7" x14ac:dyDescent="0.25">
      <c r="A745" s="7" t="s">
        <v>1502</v>
      </c>
      <c r="B745" s="7" t="s">
        <v>1692</v>
      </c>
      <c r="C745" s="7"/>
      <c r="D745" s="12" t="s">
        <v>1695</v>
      </c>
      <c r="E745" s="8" t="s">
        <v>82</v>
      </c>
      <c r="F745" s="13">
        <v>2E-3</v>
      </c>
      <c r="G745" s="12"/>
    </row>
    <row r="746" spans="1:7" x14ac:dyDescent="0.25">
      <c r="A746" s="7" t="s">
        <v>1502</v>
      </c>
      <c r="B746" s="7" t="s">
        <v>1692</v>
      </c>
      <c r="C746" s="7"/>
      <c r="D746" s="12" t="s">
        <v>1696</v>
      </c>
      <c r="E746" s="8" t="s">
        <v>82</v>
      </c>
      <c r="F746" s="13">
        <v>2E-3</v>
      </c>
      <c r="G746" s="12"/>
    </row>
    <row r="747" spans="1:7" x14ac:dyDescent="0.25">
      <c r="A747" s="7" t="s">
        <v>1502</v>
      </c>
      <c r="B747" s="7" t="s">
        <v>1692</v>
      </c>
      <c r="C747" s="7"/>
      <c r="D747" s="12" t="s">
        <v>1697</v>
      </c>
      <c r="E747" s="8" t="s">
        <v>82</v>
      </c>
      <c r="F747" s="13">
        <v>2E-3</v>
      </c>
      <c r="G747" s="12"/>
    </row>
    <row r="748" spans="1:7" ht="25.5" x14ac:dyDescent="0.25">
      <c r="A748" s="7" t="s">
        <v>1502</v>
      </c>
      <c r="B748" s="7" t="s">
        <v>1692</v>
      </c>
      <c r="C748" s="7"/>
      <c r="D748" s="12" t="s">
        <v>1698</v>
      </c>
      <c r="E748" s="8" t="s">
        <v>82</v>
      </c>
      <c r="F748" s="13">
        <v>1E-3</v>
      </c>
      <c r="G748" s="12"/>
    </row>
    <row r="749" spans="1:7" ht="25.5" x14ac:dyDescent="0.25">
      <c r="A749" s="7" t="s">
        <v>1502</v>
      </c>
      <c r="B749" s="7" t="s">
        <v>1692</v>
      </c>
      <c r="C749" s="7"/>
      <c r="D749" s="12" t="s">
        <v>1699</v>
      </c>
      <c r="E749" s="8" t="s">
        <v>82</v>
      </c>
      <c r="F749" s="13">
        <v>1E-3</v>
      </c>
      <c r="G749" s="12"/>
    </row>
    <row r="750" spans="1:7" ht="25.5" x14ac:dyDescent="0.25">
      <c r="A750" s="7" t="s">
        <v>1502</v>
      </c>
      <c r="B750" s="7" t="s">
        <v>1692</v>
      </c>
      <c r="C750" s="7"/>
      <c r="D750" s="12" t="s">
        <v>1700</v>
      </c>
      <c r="E750" s="8" t="s">
        <v>82</v>
      </c>
      <c r="F750" s="13">
        <v>1E-3</v>
      </c>
      <c r="G750" s="12"/>
    </row>
    <row r="751" spans="1:7" ht="25.5" x14ac:dyDescent="0.25">
      <c r="A751" s="7" t="s">
        <v>1502</v>
      </c>
      <c r="B751" s="7" t="s">
        <v>1692</v>
      </c>
      <c r="C751" s="7"/>
      <c r="D751" s="12" t="s">
        <v>1701</v>
      </c>
      <c r="E751" s="8" t="s">
        <v>82</v>
      </c>
      <c r="F751" s="13">
        <v>1E-3</v>
      </c>
      <c r="G751" s="12"/>
    </row>
    <row r="752" spans="1:7" ht="38.25" x14ac:dyDescent="0.25">
      <c r="A752" s="7" t="s">
        <v>1502</v>
      </c>
      <c r="B752" s="7" t="s">
        <v>1692</v>
      </c>
      <c r="C752" s="7"/>
      <c r="D752" s="12" t="s">
        <v>1702</v>
      </c>
      <c r="E752" s="8" t="s">
        <v>82</v>
      </c>
      <c r="F752" s="13">
        <v>1E-3</v>
      </c>
      <c r="G752" s="12"/>
    </row>
    <row r="753" spans="1:7" ht="25.5" x14ac:dyDescent="0.25">
      <c r="A753" s="7" t="s">
        <v>1502</v>
      </c>
      <c r="B753" s="7" t="s">
        <v>1692</v>
      </c>
      <c r="C753" s="7"/>
      <c r="D753" s="12" t="s">
        <v>1703</v>
      </c>
      <c r="E753" s="8" t="s">
        <v>82</v>
      </c>
      <c r="F753" s="13">
        <v>1E-3</v>
      </c>
      <c r="G753" s="12"/>
    </row>
    <row r="754" spans="1:7" ht="25.5" x14ac:dyDescent="0.25">
      <c r="A754" s="7" t="s">
        <v>1502</v>
      </c>
      <c r="B754" s="7" t="s">
        <v>1692</v>
      </c>
      <c r="C754" s="7"/>
      <c r="D754" s="12" t="s">
        <v>1704</v>
      </c>
      <c r="E754" s="8" t="s">
        <v>82</v>
      </c>
      <c r="F754" s="13">
        <v>1E-3</v>
      </c>
      <c r="G754" s="12"/>
    </row>
    <row r="755" spans="1:7" ht="51" x14ac:dyDescent="0.25">
      <c r="A755" s="7" t="s">
        <v>1502</v>
      </c>
      <c r="B755" s="7" t="s">
        <v>1692</v>
      </c>
      <c r="C755" s="7"/>
      <c r="D755" s="12" t="s">
        <v>1705</v>
      </c>
      <c r="E755" s="8" t="s">
        <v>82</v>
      </c>
      <c r="F755" s="13">
        <v>1E-3</v>
      </c>
      <c r="G755" s="12"/>
    </row>
    <row r="756" spans="1:7" x14ac:dyDescent="0.25">
      <c r="A756" s="7" t="s">
        <v>1502</v>
      </c>
      <c r="B756" s="7" t="s">
        <v>1692</v>
      </c>
      <c r="C756" s="7"/>
      <c r="D756" s="12" t="s">
        <v>1706</v>
      </c>
      <c r="E756" s="8" t="s">
        <v>82</v>
      </c>
      <c r="F756" s="13">
        <v>1E-3</v>
      </c>
      <c r="G756" s="12"/>
    </row>
    <row r="757" spans="1:7" x14ac:dyDescent="0.25">
      <c r="A757" s="7" t="s">
        <v>1502</v>
      </c>
      <c r="B757" s="7" t="s">
        <v>1692</v>
      </c>
      <c r="C757" s="7"/>
      <c r="D757" s="12" t="s">
        <v>1707</v>
      </c>
      <c r="E757" s="8" t="s">
        <v>82</v>
      </c>
      <c r="F757" s="13">
        <v>1E-3</v>
      </c>
      <c r="G757" s="12"/>
    </row>
    <row r="758" spans="1:7" x14ac:dyDescent="0.25">
      <c r="A758" s="7" t="s">
        <v>1502</v>
      </c>
      <c r="B758" s="7" t="s">
        <v>1692</v>
      </c>
      <c r="C758" s="7"/>
      <c r="D758" s="12" t="s">
        <v>1708</v>
      </c>
      <c r="E758" s="8" t="s">
        <v>82</v>
      </c>
      <c r="F758" s="13">
        <v>1E-3</v>
      </c>
      <c r="G758" s="12"/>
    </row>
    <row r="759" spans="1:7" x14ac:dyDescent="0.25">
      <c r="A759" s="7" t="s">
        <v>1502</v>
      </c>
      <c r="B759" s="7" t="s">
        <v>1692</v>
      </c>
      <c r="C759" s="7"/>
      <c r="D759" s="12" t="s">
        <v>1709</v>
      </c>
      <c r="E759" s="8" t="s">
        <v>82</v>
      </c>
      <c r="F759" s="13">
        <v>1E-3</v>
      </c>
      <c r="G759" s="12"/>
    </row>
    <row r="760" spans="1:7" x14ac:dyDescent="0.25">
      <c r="A760" s="7" t="s">
        <v>1502</v>
      </c>
      <c r="B760" s="7" t="s">
        <v>1692</v>
      </c>
      <c r="C760" s="7"/>
      <c r="D760" s="12" t="s">
        <v>1710</v>
      </c>
      <c r="E760" s="8" t="s">
        <v>82</v>
      </c>
      <c r="F760" s="13">
        <v>1E-3</v>
      </c>
      <c r="G760" s="12"/>
    </row>
    <row r="761" spans="1:7" ht="25.5" x14ac:dyDescent="0.25">
      <c r="A761" s="7" t="s">
        <v>1502</v>
      </c>
      <c r="B761" s="7" t="s">
        <v>1692</v>
      </c>
      <c r="C761" s="7"/>
      <c r="D761" s="12" t="s">
        <v>1711</v>
      </c>
      <c r="E761" s="8" t="s">
        <v>82</v>
      </c>
      <c r="F761" s="13">
        <v>1E-3</v>
      </c>
      <c r="G761" s="12"/>
    </row>
    <row r="762" spans="1:7" x14ac:dyDescent="0.25">
      <c r="A762" s="7" t="s">
        <v>1502</v>
      </c>
      <c r="B762" s="7" t="s">
        <v>1692</v>
      </c>
      <c r="C762" s="7"/>
      <c r="D762" s="12" t="s">
        <v>1712</v>
      </c>
      <c r="E762" s="8" t="s">
        <v>82</v>
      </c>
      <c r="F762" s="13">
        <v>1E-3</v>
      </c>
      <c r="G762" s="12"/>
    </row>
    <row r="763" spans="1:7" x14ac:dyDescent="0.25">
      <c r="A763" s="7" t="s">
        <v>1502</v>
      </c>
      <c r="B763" s="7" t="s">
        <v>1692</v>
      </c>
      <c r="C763" s="7"/>
      <c r="D763" s="12" t="s">
        <v>1713</v>
      </c>
      <c r="E763" s="8" t="s">
        <v>82</v>
      </c>
      <c r="F763" s="13">
        <v>1E-3</v>
      </c>
      <c r="G763" s="12"/>
    </row>
    <row r="764" spans="1:7" x14ac:dyDescent="0.25">
      <c r="A764" s="7" t="s">
        <v>1502</v>
      </c>
      <c r="B764" s="7" t="s">
        <v>1692</v>
      </c>
      <c r="C764" s="7"/>
      <c r="D764" s="12" t="s">
        <v>1714</v>
      </c>
      <c r="E764" s="8" t="s">
        <v>82</v>
      </c>
      <c r="F764" s="13">
        <v>1E-3</v>
      </c>
      <c r="G764" s="12"/>
    </row>
    <row r="765" spans="1:7" x14ac:dyDescent="0.25">
      <c r="A765" s="7" t="s">
        <v>1502</v>
      </c>
      <c r="B765" s="7" t="s">
        <v>1692</v>
      </c>
      <c r="C765" s="7"/>
      <c r="D765" s="12" t="s">
        <v>1715</v>
      </c>
      <c r="E765" s="8" t="s">
        <v>82</v>
      </c>
      <c r="F765" s="13">
        <v>1E-3</v>
      </c>
      <c r="G765" s="12"/>
    </row>
    <row r="766" spans="1:7" x14ac:dyDescent="0.25">
      <c r="A766" s="7" t="s">
        <v>1502</v>
      </c>
      <c r="B766" s="7" t="s">
        <v>1692</v>
      </c>
      <c r="C766" s="7"/>
      <c r="D766" s="12" t="s">
        <v>1716</v>
      </c>
      <c r="E766" s="8" t="s">
        <v>82</v>
      </c>
      <c r="F766" s="13">
        <v>1E-3</v>
      </c>
      <c r="G766" s="12"/>
    </row>
    <row r="767" spans="1:7" x14ac:dyDescent="0.25">
      <c r="A767" s="7" t="s">
        <v>1502</v>
      </c>
      <c r="B767" s="7" t="s">
        <v>1692</v>
      </c>
      <c r="C767" s="7"/>
      <c r="D767" s="12" t="s">
        <v>1717</v>
      </c>
      <c r="E767" s="8" t="s">
        <v>82</v>
      </c>
      <c r="F767" s="13">
        <v>1E-3</v>
      </c>
      <c r="G767" s="12"/>
    </row>
    <row r="768" spans="1:7" x14ac:dyDescent="0.25">
      <c r="A768" s="7" t="s">
        <v>1502</v>
      </c>
      <c r="B768" s="7" t="s">
        <v>1692</v>
      </c>
      <c r="C768" s="7"/>
      <c r="D768" s="12" t="s">
        <v>1718</v>
      </c>
      <c r="E768" s="8" t="s">
        <v>82</v>
      </c>
      <c r="F768" s="13">
        <v>1E-3</v>
      </c>
      <c r="G768" s="12"/>
    </row>
    <row r="769" spans="1:7" x14ac:dyDescent="0.25">
      <c r="A769" s="7" t="s">
        <v>1502</v>
      </c>
      <c r="B769" s="7" t="s">
        <v>1692</v>
      </c>
      <c r="C769" s="7"/>
      <c r="D769" s="12" t="s">
        <v>1719</v>
      </c>
      <c r="E769" s="8" t="s">
        <v>82</v>
      </c>
      <c r="F769" s="13">
        <v>2E-3</v>
      </c>
      <c r="G769" s="12"/>
    </row>
    <row r="770" spans="1:7" x14ac:dyDescent="0.25">
      <c r="A770" s="7" t="s">
        <v>1502</v>
      </c>
      <c r="B770" s="7" t="s">
        <v>1692</v>
      </c>
      <c r="C770" s="7"/>
      <c r="D770" s="12" t="s">
        <v>1720</v>
      </c>
      <c r="E770" s="8" t="s">
        <v>82</v>
      </c>
      <c r="F770" s="13">
        <v>1.7999999999999999E-2</v>
      </c>
      <c r="G770" s="12"/>
    </row>
    <row r="771" spans="1:7" x14ac:dyDescent="0.25">
      <c r="A771" s="7" t="s">
        <v>1502</v>
      </c>
      <c r="B771" s="7" t="s">
        <v>1692</v>
      </c>
      <c r="C771" s="7"/>
      <c r="D771" s="12" t="s">
        <v>1721</v>
      </c>
      <c r="E771" s="8" t="s">
        <v>82</v>
      </c>
      <c r="F771" s="13">
        <v>1.6E-2</v>
      </c>
      <c r="G771" s="12"/>
    </row>
    <row r="772" spans="1:7" x14ac:dyDescent="0.25">
      <c r="A772" s="7" t="s">
        <v>1502</v>
      </c>
      <c r="B772" s="7" t="s">
        <v>1692</v>
      </c>
      <c r="C772" s="7"/>
      <c r="D772" s="12" t="s">
        <v>1722</v>
      </c>
      <c r="E772" s="8" t="s">
        <v>82</v>
      </c>
      <c r="F772" s="13">
        <v>3.1E-2</v>
      </c>
      <c r="G772" s="12"/>
    </row>
    <row r="773" spans="1:7" x14ac:dyDescent="0.25">
      <c r="A773" s="7" t="s">
        <v>1502</v>
      </c>
      <c r="B773" s="7" t="s">
        <v>1692</v>
      </c>
      <c r="C773" s="7"/>
      <c r="D773" s="12" t="s">
        <v>1723</v>
      </c>
      <c r="E773" s="8" t="s">
        <v>82</v>
      </c>
      <c r="F773" s="13">
        <v>1.6E-2</v>
      </c>
      <c r="G773" s="12"/>
    </row>
    <row r="774" spans="1:7" x14ac:dyDescent="0.25">
      <c r="A774" s="7" t="s">
        <v>1502</v>
      </c>
      <c r="B774" s="7" t="s">
        <v>1692</v>
      </c>
      <c r="C774" s="7"/>
      <c r="D774" s="12" t="s">
        <v>1724</v>
      </c>
      <c r="E774" s="8" t="s">
        <v>82</v>
      </c>
      <c r="F774" s="13">
        <v>1.6E-2</v>
      </c>
      <c r="G774" s="12"/>
    </row>
    <row r="775" spans="1:7" x14ac:dyDescent="0.25">
      <c r="A775" s="7" t="s">
        <v>1502</v>
      </c>
      <c r="B775" s="7" t="s">
        <v>1725</v>
      </c>
      <c r="C775" s="7"/>
      <c r="D775" s="12" t="s">
        <v>1726</v>
      </c>
      <c r="E775" s="8" t="s">
        <v>82</v>
      </c>
      <c r="F775" s="13">
        <v>1E-3</v>
      </c>
      <c r="G775" s="12"/>
    </row>
    <row r="776" spans="1:7" x14ac:dyDescent="0.25">
      <c r="A776" s="7" t="s">
        <v>1502</v>
      </c>
      <c r="B776" s="7" t="s">
        <v>1725</v>
      </c>
      <c r="C776" s="7"/>
      <c r="D776" s="12" t="s">
        <v>1727</v>
      </c>
      <c r="E776" s="8" t="s">
        <v>82</v>
      </c>
      <c r="F776" s="13">
        <v>1E-3</v>
      </c>
      <c r="G776" s="12"/>
    </row>
    <row r="777" spans="1:7" x14ac:dyDescent="0.25">
      <c r="A777" s="7" t="s">
        <v>1502</v>
      </c>
      <c r="B777" s="7" t="s">
        <v>1725</v>
      </c>
      <c r="C777" s="7"/>
      <c r="D777" s="12" t="s">
        <v>1728</v>
      </c>
      <c r="E777" s="8" t="s">
        <v>82</v>
      </c>
      <c r="F777" s="13">
        <v>1E-3</v>
      </c>
      <c r="G777" s="12"/>
    </row>
    <row r="778" spans="1:7" x14ac:dyDescent="0.25">
      <c r="A778" s="7" t="s">
        <v>1502</v>
      </c>
      <c r="B778" s="7" t="s">
        <v>1725</v>
      </c>
      <c r="C778" s="7"/>
      <c r="D778" s="12" t="s">
        <v>1729</v>
      </c>
      <c r="E778" s="8" t="s">
        <v>82</v>
      </c>
      <c r="F778" s="13">
        <v>1E-3</v>
      </c>
      <c r="G778" s="12"/>
    </row>
    <row r="779" spans="1:7" x14ac:dyDescent="0.25">
      <c r="A779" s="7" t="s">
        <v>1502</v>
      </c>
      <c r="B779" s="7" t="s">
        <v>1725</v>
      </c>
      <c r="C779" s="7"/>
      <c r="D779" s="12" t="s">
        <v>1730</v>
      </c>
      <c r="E779" s="8" t="s">
        <v>82</v>
      </c>
      <c r="F779" s="13">
        <v>1E-3</v>
      </c>
      <c r="G779" s="12"/>
    </row>
    <row r="780" spans="1:7" x14ac:dyDescent="0.25">
      <c r="A780" s="7" t="s">
        <v>1502</v>
      </c>
      <c r="B780" s="7" t="s">
        <v>1725</v>
      </c>
      <c r="C780" s="7"/>
      <c r="D780" s="12" t="s">
        <v>1731</v>
      </c>
      <c r="E780" s="8" t="s">
        <v>82</v>
      </c>
      <c r="F780" s="13">
        <v>1E-3</v>
      </c>
      <c r="G780" s="12"/>
    </row>
    <row r="781" spans="1:7" x14ac:dyDescent="0.25">
      <c r="A781" s="7" t="s">
        <v>1502</v>
      </c>
      <c r="B781" s="7" t="s">
        <v>1725</v>
      </c>
      <c r="C781" s="7"/>
      <c r="D781" s="12" t="s">
        <v>1732</v>
      </c>
      <c r="E781" s="8" t="s">
        <v>82</v>
      </c>
      <c r="F781" s="13">
        <v>1E-3</v>
      </c>
      <c r="G781" s="12"/>
    </row>
    <row r="782" spans="1:7" x14ac:dyDescent="0.25">
      <c r="A782" s="7" t="s">
        <v>1502</v>
      </c>
      <c r="B782" s="7" t="s">
        <v>1725</v>
      </c>
      <c r="C782" s="7"/>
      <c r="D782" s="12" t="s">
        <v>1733</v>
      </c>
      <c r="E782" s="8" t="s">
        <v>82</v>
      </c>
      <c r="F782" s="13">
        <v>1E-3</v>
      </c>
      <c r="G782" s="12"/>
    </row>
    <row r="783" spans="1:7" x14ac:dyDescent="0.25">
      <c r="A783" s="7" t="s">
        <v>1502</v>
      </c>
      <c r="B783" s="7" t="s">
        <v>1725</v>
      </c>
      <c r="C783" s="7"/>
      <c r="D783" s="12" t="s">
        <v>1734</v>
      </c>
      <c r="E783" s="8" t="s">
        <v>82</v>
      </c>
      <c r="F783" s="13">
        <v>1E-3</v>
      </c>
      <c r="G783" s="12"/>
    </row>
    <row r="784" spans="1:7" x14ac:dyDescent="0.25">
      <c r="A784" s="7" t="s">
        <v>1502</v>
      </c>
      <c r="B784" s="7" t="s">
        <v>1725</v>
      </c>
      <c r="C784" s="7"/>
      <c r="D784" s="12" t="s">
        <v>1735</v>
      </c>
      <c r="E784" s="8" t="s">
        <v>82</v>
      </c>
      <c r="F784" s="13">
        <v>1E-3</v>
      </c>
      <c r="G784" s="12"/>
    </row>
    <row r="785" spans="1:7" x14ac:dyDescent="0.25">
      <c r="A785" s="7" t="s">
        <v>1502</v>
      </c>
      <c r="B785" s="7" t="s">
        <v>1725</v>
      </c>
      <c r="C785" s="7"/>
      <c r="D785" s="12" t="s">
        <v>1736</v>
      </c>
      <c r="E785" s="8" t="s">
        <v>82</v>
      </c>
      <c r="F785" s="13">
        <v>1E-3</v>
      </c>
      <c r="G785" s="12"/>
    </row>
    <row r="786" spans="1:7" x14ac:dyDescent="0.25">
      <c r="A786" s="7" t="s">
        <v>1502</v>
      </c>
      <c r="B786" s="7" t="s">
        <v>1725</v>
      </c>
      <c r="C786" s="7"/>
      <c r="D786" s="12" t="s">
        <v>1737</v>
      </c>
      <c r="E786" s="8" t="s">
        <v>82</v>
      </c>
      <c r="F786" s="13">
        <v>1E-3</v>
      </c>
      <c r="G786" s="12"/>
    </row>
    <row r="787" spans="1:7" x14ac:dyDescent="0.25">
      <c r="A787" s="7" t="s">
        <v>1502</v>
      </c>
      <c r="B787" s="7" t="s">
        <v>1725</v>
      </c>
      <c r="C787" s="7"/>
      <c r="D787" s="12" t="s">
        <v>1738</v>
      </c>
      <c r="E787" s="8" t="s">
        <v>82</v>
      </c>
      <c r="F787" s="13">
        <v>1E-3</v>
      </c>
      <c r="G787" s="12"/>
    </row>
    <row r="788" spans="1:7" x14ac:dyDescent="0.25">
      <c r="A788" s="7" t="s">
        <v>1502</v>
      </c>
      <c r="B788" s="7" t="s">
        <v>1725</v>
      </c>
      <c r="C788" s="7"/>
      <c r="D788" s="12" t="s">
        <v>1739</v>
      </c>
      <c r="E788" s="8" t="s">
        <v>82</v>
      </c>
      <c r="F788" s="13">
        <v>1E-3</v>
      </c>
      <c r="G788" s="12"/>
    </row>
    <row r="789" spans="1:7" x14ac:dyDescent="0.25">
      <c r="A789" s="7" t="s">
        <v>1502</v>
      </c>
      <c r="B789" s="7" t="s">
        <v>1725</v>
      </c>
      <c r="C789" s="7"/>
      <c r="D789" s="12" t="s">
        <v>1740</v>
      </c>
      <c r="E789" s="8" t="s">
        <v>82</v>
      </c>
      <c r="F789" s="13">
        <v>1E-3</v>
      </c>
      <c r="G789" s="12"/>
    </row>
    <row r="790" spans="1:7" x14ac:dyDescent="0.25">
      <c r="A790" s="7" t="s">
        <v>1502</v>
      </c>
      <c r="B790" s="7" t="s">
        <v>1725</v>
      </c>
      <c r="C790" s="7"/>
      <c r="D790" s="12" t="s">
        <v>1741</v>
      </c>
      <c r="E790" s="8" t="s">
        <v>82</v>
      </c>
      <c r="F790" s="13">
        <v>1E-3</v>
      </c>
      <c r="G790" s="12"/>
    </row>
    <row r="791" spans="1:7" x14ac:dyDescent="0.25">
      <c r="A791" s="7" t="s">
        <v>1502</v>
      </c>
      <c r="B791" s="7" t="s">
        <v>1725</v>
      </c>
      <c r="C791" s="7"/>
      <c r="D791" s="12" t="s">
        <v>1742</v>
      </c>
      <c r="E791" s="8" t="s">
        <v>82</v>
      </c>
      <c r="F791" s="13">
        <v>1E-3</v>
      </c>
      <c r="G791" s="12"/>
    </row>
    <row r="792" spans="1:7" x14ac:dyDescent="0.25">
      <c r="A792" s="7" t="s">
        <v>1502</v>
      </c>
      <c r="B792" s="7" t="s">
        <v>1725</v>
      </c>
      <c r="C792" s="7"/>
      <c r="D792" s="12" t="s">
        <v>1743</v>
      </c>
      <c r="E792" s="8" t="s">
        <v>82</v>
      </c>
      <c r="F792" s="13">
        <v>1E-3</v>
      </c>
      <c r="G792" s="12"/>
    </row>
    <row r="793" spans="1:7" x14ac:dyDescent="0.25">
      <c r="A793" s="7" t="s">
        <v>1502</v>
      </c>
      <c r="B793" s="7" t="s">
        <v>1744</v>
      </c>
      <c r="C793" s="7"/>
      <c r="D793" s="12" t="s">
        <v>1745</v>
      </c>
      <c r="E793" s="8" t="s">
        <v>82</v>
      </c>
      <c r="F793" s="13">
        <v>3.0000000000000001E-3</v>
      </c>
      <c r="G793" s="12"/>
    </row>
    <row r="794" spans="1:7" x14ac:dyDescent="0.25">
      <c r="A794" s="7" t="s">
        <v>1502</v>
      </c>
      <c r="B794" s="7" t="s">
        <v>1744</v>
      </c>
      <c r="C794" s="7"/>
      <c r="D794" s="12" t="s">
        <v>1746</v>
      </c>
      <c r="E794" s="8" t="s">
        <v>82</v>
      </c>
      <c r="F794" s="13">
        <v>1.0999999999999999E-2</v>
      </c>
      <c r="G794" s="12"/>
    </row>
    <row r="795" spans="1:7" x14ac:dyDescent="0.25">
      <c r="A795" s="7" t="s">
        <v>1502</v>
      </c>
      <c r="B795" s="7" t="s">
        <v>1744</v>
      </c>
      <c r="C795" s="7"/>
      <c r="D795" s="12" t="s">
        <v>1747</v>
      </c>
      <c r="E795" s="8" t="s">
        <v>82</v>
      </c>
      <c r="F795" s="13">
        <v>2.4E-2</v>
      </c>
      <c r="G795" s="12"/>
    </row>
    <row r="796" spans="1:7" x14ac:dyDescent="0.25">
      <c r="A796" s="7" t="s">
        <v>1502</v>
      </c>
      <c r="B796" s="7" t="s">
        <v>1744</v>
      </c>
      <c r="C796" s="7"/>
      <c r="D796" s="12" t="s">
        <v>1748</v>
      </c>
      <c r="E796" s="8" t="s">
        <v>82</v>
      </c>
      <c r="F796" s="13">
        <v>6.0000000000000001E-3</v>
      </c>
      <c r="G796" s="12"/>
    </row>
    <row r="797" spans="1:7" x14ac:dyDescent="0.25">
      <c r="A797" s="7" t="s">
        <v>1502</v>
      </c>
      <c r="B797" s="7" t="s">
        <v>1744</v>
      </c>
      <c r="C797" s="7"/>
      <c r="D797" s="12" t="s">
        <v>1749</v>
      </c>
      <c r="E797" s="8" t="s">
        <v>82</v>
      </c>
      <c r="F797" s="13">
        <v>5.7000000000000002E-2</v>
      </c>
      <c r="G797" s="12"/>
    </row>
    <row r="798" spans="1:7" x14ac:dyDescent="0.25">
      <c r="A798" s="7" t="s">
        <v>1502</v>
      </c>
      <c r="B798" s="7" t="s">
        <v>1744</v>
      </c>
      <c r="C798" s="7"/>
      <c r="D798" s="12" t="s">
        <v>1750</v>
      </c>
      <c r="E798" s="8" t="s">
        <v>82</v>
      </c>
      <c r="F798" s="13">
        <v>0.03</v>
      </c>
      <c r="G798" s="12"/>
    </row>
    <row r="799" spans="1:7" x14ac:dyDescent="0.25">
      <c r="A799" s="7" t="s">
        <v>1502</v>
      </c>
      <c r="B799" s="7" t="s">
        <v>1744</v>
      </c>
      <c r="C799" s="7"/>
      <c r="D799" s="12" t="s">
        <v>1751</v>
      </c>
      <c r="E799" s="8" t="s">
        <v>82</v>
      </c>
      <c r="F799" s="13">
        <v>2.4E-2</v>
      </c>
      <c r="G799" s="12"/>
    </row>
    <row r="800" spans="1:7" x14ac:dyDescent="0.25">
      <c r="A800" s="7" t="s">
        <v>1502</v>
      </c>
      <c r="B800" s="7" t="s">
        <v>1744</v>
      </c>
      <c r="C800" s="7"/>
      <c r="D800" s="12" t="s">
        <v>1752</v>
      </c>
      <c r="E800" s="8" t="s">
        <v>82</v>
      </c>
      <c r="F800" s="13">
        <v>5.0000000000000001E-3</v>
      </c>
      <c r="G800" s="12"/>
    </row>
    <row r="801" spans="1:7" x14ac:dyDescent="0.25">
      <c r="A801" s="7" t="s">
        <v>1502</v>
      </c>
      <c r="B801" s="7" t="s">
        <v>1744</v>
      </c>
      <c r="C801" s="7"/>
      <c r="D801" s="12" t="s">
        <v>1753</v>
      </c>
      <c r="E801" s="8" t="s">
        <v>82</v>
      </c>
      <c r="F801" s="13">
        <v>0.01</v>
      </c>
      <c r="G801" s="12"/>
    </row>
    <row r="802" spans="1:7" x14ac:dyDescent="0.25">
      <c r="A802" s="7" t="s">
        <v>1502</v>
      </c>
      <c r="B802" s="7" t="s">
        <v>1744</v>
      </c>
      <c r="C802" s="7"/>
      <c r="D802" s="12" t="s">
        <v>1754</v>
      </c>
      <c r="E802" s="8" t="s">
        <v>82</v>
      </c>
      <c r="F802" s="13">
        <v>8.0000000000000002E-3</v>
      </c>
      <c r="G802" s="12"/>
    </row>
    <row r="803" spans="1:7" x14ac:dyDescent="0.25">
      <c r="A803" s="7" t="s">
        <v>1502</v>
      </c>
      <c r="B803" s="7" t="s">
        <v>1744</v>
      </c>
      <c r="C803" s="7"/>
      <c r="D803" s="12" t="s">
        <v>1755</v>
      </c>
      <c r="E803" s="8" t="s">
        <v>82</v>
      </c>
      <c r="F803" s="13">
        <v>3.4000000000000002E-2</v>
      </c>
      <c r="G803" s="12"/>
    </row>
    <row r="804" spans="1:7" x14ac:dyDescent="0.25">
      <c r="A804" s="7" t="s">
        <v>1502</v>
      </c>
      <c r="B804" s="7" t="s">
        <v>1744</v>
      </c>
      <c r="C804" s="7"/>
      <c r="D804" s="12" t="s">
        <v>1756</v>
      </c>
      <c r="E804" s="8" t="s">
        <v>82</v>
      </c>
      <c r="F804" s="13">
        <v>2.7E-2</v>
      </c>
      <c r="G804" s="12"/>
    </row>
    <row r="805" spans="1:7" x14ac:dyDescent="0.25">
      <c r="A805" s="7" t="s">
        <v>1502</v>
      </c>
      <c r="B805" s="7" t="s">
        <v>1744</v>
      </c>
      <c r="C805" s="7"/>
      <c r="D805" s="12" t="s">
        <v>1757</v>
      </c>
      <c r="E805" s="8" t="s">
        <v>82</v>
      </c>
      <c r="F805" s="13">
        <v>0.01</v>
      </c>
      <c r="G805" s="12"/>
    </row>
    <row r="806" spans="1:7" x14ac:dyDescent="0.25">
      <c r="A806" s="7" t="s">
        <v>1502</v>
      </c>
      <c r="B806" s="7" t="s">
        <v>1744</v>
      </c>
      <c r="C806" s="7"/>
      <c r="D806" s="12" t="s">
        <v>1758</v>
      </c>
      <c r="E806" s="8" t="s">
        <v>82</v>
      </c>
      <c r="F806" s="13">
        <v>3.0000000000000001E-3</v>
      </c>
      <c r="G806" s="12"/>
    </row>
    <row r="807" spans="1:7" x14ac:dyDescent="0.25">
      <c r="A807" s="7" t="s">
        <v>1502</v>
      </c>
      <c r="B807" s="7" t="s">
        <v>1744</v>
      </c>
      <c r="C807" s="7"/>
      <c r="D807" s="12" t="s">
        <v>1759</v>
      </c>
      <c r="E807" s="8" t="s">
        <v>82</v>
      </c>
      <c r="F807" s="13">
        <v>3.0000000000000001E-3</v>
      </c>
      <c r="G807" s="12"/>
    </row>
    <row r="808" spans="1:7" x14ac:dyDescent="0.25">
      <c r="A808" s="7" t="s">
        <v>1502</v>
      </c>
      <c r="B808" s="7" t="s">
        <v>1744</v>
      </c>
      <c r="C808" s="7"/>
      <c r="D808" s="12" t="s">
        <v>1760</v>
      </c>
      <c r="E808" s="8" t="s">
        <v>82</v>
      </c>
      <c r="F808" s="13">
        <v>2.5999999999999999E-2</v>
      </c>
      <c r="G808" s="12"/>
    </row>
    <row r="809" spans="1:7" x14ac:dyDescent="0.25">
      <c r="A809" s="7" t="s">
        <v>1502</v>
      </c>
      <c r="B809" s="7" t="s">
        <v>1744</v>
      </c>
      <c r="C809" s="7"/>
      <c r="D809" s="12" t="s">
        <v>1761</v>
      </c>
      <c r="E809" s="8" t="s">
        <v>82</v>
      </c>
      <c r="F809" s="13">
        <v>0.01</v>
      </c>
      <c r="G809" s="12"/>
    </row>
    <row r="810" spans="1:7" x14ac:dyDescent="0.25">
      <c r="A810" s="7" t="s">
        <v>1502</v>
      </c>
      <c r="B810" s="7" t="s">
        <v>1744</v>
      </c>
      <c r="C810" s="7"/>
      <c r="D810" s="12" t="s">
        <v>1762</v>
      </c>
      <c r="E810" s="8" t="s">
        <v>82</v>
      </c>
      <c r="F810" s="13">
        <v>1.4999999999999999E-2</v>
      </c>
      <c r="G810" s="12"/>
    </row>
    <row r="811" spans="1:7" x14ac:dyDescent="0.25">
      <c r="A811" s="7" t="s">
        <v>1502</v>
      </c>
      <c r="B811" s="7" t="s">
        <v>1763</v>
      </c>
      <c r="C811" s="7"/>
      <c r="D811" s="12" t="s">
        <v>1764</v>
      </c>
      <c r="E811" s="8" t="s">
        <v>82</v>
      </c>
      <c r="F811" s="13">
        <v>1E-3</v>
      </c>
      <c r="G811" s="12"/>
    </row>
    <row r="812" spans="1:7" x14ac:dyDescent="0.25">
      <c r="A812" s="7" t="s">
        <v>1502</v>
      </c>
      <c r="B812" s="7" t="s">
        <v>1763</v>
      </c>
      <c r="C812" s="7"/>
      <c r="D812" s="12" t="s">
        <v>1765</v>
      </c>
      <c r="E812" s="8" t="s">
        <v>82</v>
      </c>
      <c r="F812" s="13">
        <v>1E-3</v>
      </c>
      <c r="G812" s="12"/>
    </row>
    <row r="813" spans="1:7" x14ac:dyDescent="0.25">
      <c r="A813" s="7" t="s">
        <v>1502</v>
      </c>
      <c r="B813" s="7" t="s">
        <v>1763</v>
      </c>
      <c r="C813" s="7"/>
      <c r="D813" s="12" t="s">
        <v>1766</v>
      </c>
      <c r="E813" s="8" t="s">
        <v>82</v>
      </c>
      <c r="F813" s="13">
        <v>1E-3</v>
      </c>
      <c r="G813" s="12"/>
    </row>
    <row r="814" spans="1:7" x14ac:dyDescent="0.25">
      <c r="A814" s="7" t="s">
        <v>1502</v>
      </c>
      <c r="B814" s="7" t="s">
        <v>1763</v>
      </c>
      <c r="C814" s="7"/>
      <c r="D814" s="12" t="s">
        <v>1767</v>
      </c>
      <c r="E814" s="8" t="s">
        <v>82</v>
      </c>
      <c r="F814" s="13">
        <v>1E-3</v>
      </c>
      <c r="G814" s="12"/>
    </row>
    <row r="815" spans="1:7" x14ac:dyDescent="0.25">
      <c r="A815" s="7" t="s">
        <v>1502</v>
      </c>
      <c r="B815" s="7" t="s">
        <v>1763</v>
      </c>
      <c r="C815" s="7"/>
      <c r="D815" s="12" t="s">
        <v>1768</v>
      </c>
      <c r="E815" s="8" t="s">
        <v>82</v>
      </c>
      <c r="F815" s="13">
        <v>3.0000000000000001E-3</v>
      </c>
      <c r="G815" s="12"/>
    </row>
    <row r="816" spans="1:7" x14ac:dyDescent="0.25">
      <c r="A816" s="7" t="s">
        <v>1502</v>
      </c>
      <c r="B816" s="7" t="s">
        <v>1763</v>
      </c>
      <c r="C816" s="7"/>
      <c r="D816" s="12" t="s">
        <v>1769</v>
      </c>
      <c r="E816" s="8" t="s">
        <v>82</v>
      </c>
      <c r="F816" s="13">
        <v>1.7000000000000001E-2</v>
      </c>
      <c r="G816" s="12"/>
    </row>
    <row r="817" spans="1:7" x14ac:dyDescent="0.25">
      <c r="A817" s="7" t="s">
        <v>1502</v>
      </c>
      <c r="B817" s="7" t="s">
        <v>1763</v>
      </c>
      <c r="C817" s="7"/>
      <c r="D817" s="12" t="s">
        <v>1770</v>
      </c>
      <c r="E817" s="8" t="s">
        <v>82</v>
      </c>
      <c r="F817" s="13">
        <v>8.9999999999999993E-3</v>
      </c>
      <c r="G817" s="12"/>
    </row>
    <row r="818" spans="1:7" x14ac:dyDescent="0.25">
      <c r="A818" s="7" t="s">
        <v>1502</v>
      </c>
      <c r="B818" s="7" t="s">
        <v>1763</v>
      </c>
      <c r="C818" s="7"/>
      <c r="D818" s="12" t="s">
        <v>1771</v>
      </c>
      <c r="E818" s="8" t="s">
        <v>82</v>
      </c>
      <c r="F818" s="13">
        <v>2E-3</v>
      </c>
      <c r="G818" s="12"/>
    </row>
    <row r="819" spans="1:7" x14ac:dyDescent="0.25">
      <c r="A819" s="7" t="s">
        <v>1502</v>
      </c>
      <c r="B819" s="7" t="s">
        <v>1772</v>
      </c>
      <c r="C819" s="7"/>
      <c r="D819" s="12" t="s">
        <v>1773</v>
      </c>
      <c r="E819" s="8" t="s">
        <v>82</v>
      </c>
      <c r="F819" s="13">
        <v>1.4999999999999999E-2</v>
      </c>
      <c r="G819" s="12"/>
    </row>
    <row r="820" spans="1:7" x14ac:dyDescent="0.25">
      <c r="A820" s="7" t="s">
        <v>1502</v>
      </c>
      <c r="B820" s="7" t="s">
        <v>1772</v>
      </c>
      <c r="C820" s="7"/>
      <c r="D820" s="12" t="s">
        <v>1774</v>
      </c>
      <c r="E820" s="8" t="s">
        <v>82</v>
      </c>
      <c r="F820" s="13">
        <v>1.2E-2</v>
      </c>
      <c r="G820" s="12"/>
    </row>
    <row r="821" spans="1:7" x14ac:dyDescent="0.25">
      <c r="A821" s="7" t="s">
        <v>1502</v>
      </c>
      <c r="B821" s="7" t="s">
        <v>1772</v>
      </c>
      <c r="C821" s="7"/>
      <c r="D821" s="12" t="s">
        <v>1775</v>
      </c>
      <c r="E821" s="8" t="s">
        <v>82</v>
      </c>
      <c r="F821" s="13">
        <v>2E-3</v>
      </c>
      <c r="G821" s="12"/>
    </row>
    <row r="822" spans="1:7" x14ac:dyDescent="0.25">
      <c r="A822" s="7" t="s">
        <v>1502</v>
      </c>
      <c r="B822" s="7" t="s">
        <v>1772</v>
      </c>
      <c r="C822" s="7"/>
      <c r="D822" s="12" t="s">
        <v>1776</v>
      </c>
      <c r="E822" s="8" t="s">
        <v>82</v>
      </c>
      <c r="F822" s="13">
        <v>1E-3</v>
      </c>
      <c r="G822" s="12"/>
    </row>
    <row r="823" spans="1:7" x14ac:dyDescent="0.25">
      <c r="A823" s="7" t="s">
        <v>1502</v>
      </c>
      <c r="B823" s="7" t="s">
        <v>1772</v>
      </c>
      <c r="C823" s="7"/>
      <c r="D823" s="12" t="s">
        <v>1777</v>
      </c>
      <c r="E823" s="8" t="s">
        <v>82</v>
      </c>
      <c r="F823" s="13">
        <v>1E-3</v>
      </c>
      <c r="G823" s="12"/>
    </row>
    <row r="824" spans="1:7" x14ac:dyDescent="0.25">
      <c r="A824" s="7" t="s">
        <v>1502</v>
      </c>
      <c r="B824" s="7" t="s">
        <v>1772</v>
      </c>
      <c r="C824" s="7"/>
      <c r="D824" s="12" t="s">
        <v>1778</v>
      </c>
      <c r="E824" s="8" t="s">
        <v>82</v>
      </c>
      <c r="F824" s="13">
        <v>2E-3</v>
      </c>
      <c r="G824" s="12"/>
    </row>
    <row r="825" spans="1:7" x14ac:dyDescent="0.25">
      <c r="A825" s="7" t="s">
        <v>1502</v>
      </c>
      <c r="B825" s="7" t="s">
        <v>1772</v>
      </c>
      <c r="C825" s="7"/>
      <c r="D825" s="12" t="s">
        <v>1779</v>
      </c>
      <c r="E825" s="8" t="s">
        <v>82</v>
      </c>
      <c r="F825" s="13">
        <v>1.6E-2</v>
      </c>
      <c r="G825" s="12"/>
    </row>
    <row r="826" spans="1:7" x14ac:dyDescent="0.25">
      <c r="A826" s="7" t="s">
        <v>1502</v>
      </c>
      <c r="B826" s="7" t="s">
        <v>1772</v>
      </c>
      <c r="C826" s="7"/>
      <c r="D826" s="12" t="s">
        <v>1780</v>
      </c>
      <c r="E826" s="8" t="s">
        <v>82</v>
      </c>
      <c r="F826" s="13">
        <v>1E-3</v>
      </c>
      <c r="G826" s="12"/>
    </row>
    <row r="827" spans="1:7" x14ac:dyDescent="0.25">
      <c r="A827" s="7" t="s">
        <v>1502</v>
      </c>
      <c r="B827" s="7" t="s">
        <v>1772</v>
      </c>
      <c r="C827" s="7"/>
      <c r="D827" s="12" t="s">
        <v>1781</v>
      </c>
      <c r="E827" s="8" t="s">
        <v>82</v>
      </c>
      <c r="F827" s="13">
        <v>1E-3</v>
      </c>
      <c r="G827" s="12"/>
    </row>
    <row r="828" spans="1:7" x14ac:dyDescent="0.25">
      <c r="A828" s="7" t="s">
        <v>1502</v>
      </c>
      <c r="B828" s="7" t="s">
        <v>1772</v>
      </c>
      <c r="C828" s="7"/>
      <c r="D828" s="12" t="s">
        <v>1782</v>
      </c>
      <c r="E828" s="8" t="s">
        <v>82</v>
      </c>
      <c r="F828" s="13">
        <v>1E-3</v>
      </c>
      <c r="G828" s="12"/>
    </row>
    <row r="829" spans="1:7" x14ac:dyDescent="0.25">
      <c r="A829" s="7" t="s">
        <v>1502</v>
      </c>
      <c r="B829" s="7" t="s">
        <v>1772</v>
      </c>
      <c r="C829" s="7"/>
      <c r="D829" s="12" t="s">
        <v>1783</v>
      </c>
      <c r="E829" s="8" t="s">
        <v>82</v>
      </c>
      <c r="F829" s="13">
        <v>1E-3</v>
      </c>
      <c r="G829" s="12"/>
    </row>
    <row r="830" spans="1:7" x14ac:dyDescent="0.25">
      <c r="A830" s="7" t="s">
        <v>1502</v>
      </c>
      <c r="B830" s="7" t="s">
        <v>1772</v>
      </c>
      <c r="C830" s="7"/>
      <c r="D830" s="12" t="s">
        <v>1784</v>
      </c>
      <c r="E830" s="8" t="s">
        <v>82</v>
      </c>
      <c r="F830" s="13">
        <v>1E-3</v>
      </c>
      <c r="G830" s="12"/>
    </row>
    <row r="831" spans="1:7" x14ac:dyDescent="0.25">
      <c r="A831" s="7" t="s">
        <v>1502</v>
      </c>
      <c r="B831" s="7" t="s">
        <v>1772</v>
      </c>
      <c r="C831" s="7"/>
      <c r="D831" s="12" t="s">
        <v>1785</v>
      </c>
      <c r="E831" s="8" t="s">
        <v>82</v>
      </c>
      <c r="F831" s="13">
        <v>1E-3</v>
      </c>
      <c r="G831" s="12"/>
    </row>
    <row r="832" spans="1:7" x14ac:dyDescent="0.25">
      <c r="A832" s="7" t="s">
        <v>1502</v>
      </c>
      <c r="B832" s="7" t="s">
        <v>1772</v>
      </c>
      <c r="C832" s="7"/>
      <c r="D832" s="12" t="s">
        <v>1786</v>
      </c>
      <c r="E832" s="8" t="s">
        <v>82</v>
      </c>
      <c r="F832" s="13">
        <v>1E-3</v>
      </c>
      <c r="G832" s="12"/>
    </row>
    <row r="833" spans="1:7" x14ac:dyDescent="0.25">
      <c r="A833" s="7" t="s">
        <v>1502</v>
      </c>
      <c r="B833" s="7" t="s">
        <v>1772</v>
      </c>
      <c r="C833" s="7"/>
      <c r="D833" s="12" t="s">
        <v>1787</v>
      </c>
      <c r="E833" s="8" t="s">
        <v>82</v>
      </c>
      <c r="F833" s="13">
        <v>1E-3</v>
      </c>
      <c r="G833" s="12"/>
    </row>
    <row r="834" spans="1:7" x14ac:dyDescent="0.25">
      <c r="A834" s="7" t="s">
        <v>1502</v>
      </c>
      <c r="B834" s="7" t="s">
        <v>1772</v>
      </c>
      <c r="C834" s="7"/>
      <c r="D834" s="12" t="s">
        <v>1788</v>
      </c>
      <c r="E834" s="8" t="s">
        <v>82</v>
      </c>
      <c r="F834" s="13">
        <v>1E-3</v>
      </c>
      <c r="G834" s="12"/>
    </row>
    <row r="835" spans="1:7" x14ac:dyDescent="0.25">
      <c r="A835" s="7" t="s">
        <v>1502</v>
      </c>
      <c r="B835" s="7" t="s">
        <v>1772</v>
      </c>
      <c r="C835" s="7"/>
      <c r="D835" s="12" t="s">
        <v>1789</v>
      </c>
      <c r="E835" s="8" t="s">
        <v>82</v>
      </c>
      <c r="F835" s="13">
        <v>1E-3</v>
      </c>
      <c r="G835" s="12"/>
    </row>
    <row r="836" spans="1:7" x14ac:dyDescent="0.25">
      <c r="A836" s="7" t="s">
        <v>1502</v>
      </c>
      <c r="B836" s="7" t="s">
        <v>1772</v>
      </c>
      <c r="C836" s="7"/>
      <c r="D836" s="12" t="s">
        <v>1790</v>
      </c>
      <c r="E836" s="8" t="s">
        <v>82</v>
      </c>
      <c r="F836" s="13">
        <v>1E-3</v>
      </c>
      <c r="G836" s="12"/>
    </row>
    <row r="837" spans="1:7" x14ac:dyDescent="0.25">
      <c r="A837" s="7" t="s">
        <v>1502</v>
      </c>
      <c r="B837" s="7" t="s">
        <v>1772</v>
      </c>
      <c r="C837" s="7"/>
      <c r="D837" s="12" t="s">
        <v>1791</v>
      </c>
      <c r="E837" s="8" t="s">
        <v>82</v>
      </c>
      <c r="F837" s="13">
        <v>1E-3</v>
      </c>
      <c r="G837" s="12"/>
    </row>
    <row r="838" spans="1:7" x14ac:dyDescent="0.25">
      <c r="A838" s="7" t="s">
        <v>1502</v>
      </c>
      <c r="B838" s="7" t="s">
        <v>1772</v>
      </c>
      <c r="C838" s="7"/>
      <c r="D838" s="12" t="s">
        <v>1792</v>
      </c>
      <c r="E838" s="8" t="s">
        <v>82</v>
      </c>
      <c r="F838" s="13">
        <v>1E-3</v>
      </c>
      <c r="G838" s="12"/>
    </row>
    <row r="839" spans="1:7" x14ac:dyDescent="0.25">
      <c r="A839" s="7" t="s">
        <v>1502</v>
      </c>
      <c r="B839" s="7" t="s">
        <v>1772</v>
      </c>
      <c r="C839" s="7"/>
      <c r="D839" s="12" t="s">
        <v>1793</v>
      </c>
      <c r="E839" s="8" t="s">
        <v>82</v>
      </c>
      <c r="F839" s="13">
        <v>1E-3</v>
      </c>
      <c r="G839" s="12"/>
    </row>
    <row r="840" spans="1:7" x14ac:dyDescent="0.25">
      <c r="A840" s="7" t="s">
        <v>1502</v>
      </c>
      <c r="B840" s="7" t="s">
        <v>1772</v>
      </c>
      <c r="C840" s="7"/>
      <c r="D840" s="12" t="s">
        <v>1794</v>
      </c>
      <c r="E840" s="8" t="s">
        <v>82</v>
      </c>
      <c r="F840" s="13">
        <v>1E-3</v>
      </c>
      <c r="G840" s="12"/>
    </row>
    <row r="841" spans="1:7" x14ac:dyDescent="0.25">
      <c r="A841" s="7" t="s">
        <v>1502</v>
      </c>
      <c r="B841" s="7" t="s">
        <v>1772</v>
      </c>
      <c r="C841" s="7"/>
      <c r="D841" s="12" t="s">
        <v>1795</v>
      </c>
      <c r="E841" s="8" t="s">
        <v>82</v>
      </c>
      <c r="F841" s="13">
        <v>1E-3</v>
      </c>
      <c r="G841" s="12"/>
    </row>
    <row r="842" spans="1:7" x14ac:dyDescent="0.25">
      <c r="A842" s="7" t="s">
        <v>1502</v>
      </c>
      <c r="B842" s="7" t="s">
        <v>1796</v>
      </c>
      <c r="C842" s="7"/>
      <c r="D842" s="12" t="s">
        <v>1797</v>
      </c>
      <c r="E842" s="8" t="s">
        <v>82</v>
      </c>
      <c r="F842" s="13">
        <v>1.4999999999999999E-2</v>
      </c>
      <c r="G842" s="12"/>
    </row>
    <row r="843" spans="1:7" x14ac:dyDescent="0.25">
      <c r="A843" s="7" t="s">
        <v>1502</v>
      </c>
      <c r="B843" s="7" t="s">
        <v>1796</v>
      </c>
      <c r="C843" s="7"/>
      <c r="D843" s="12" t="s">
        <v>1798</v>
      </c>
      <c r="E843" s="8" t="s">
        <v>82</v>
      </c>
      <c r="F843" s="13">
        <v>6.0000000000000001E-3</v>
      </c>
      <c r="G843" s="12"/>
    </row>
    <row r="844" spans="1:7" x14ac:dyDescent="0.25">
      <c r="A844" s="7" t="s">
        <v>1502</v>
      </c>
      <c r="B844" s="7" t="s">
        <v>1796</v>
      </c>
      <c r="C844" s="7"/>
      <c r="D844" s="12" t="s">
        <v>1799</v>
      </c>
      <c r="E844" s="8" t="s">
        <v>82</v>
      </c>
      <c r="F844" s="13">
        <v>5.0000000000000001E-3</v>
      </c>
      <c r="G844" s="12"/>
    </row>
    <row r="845" spans="1:7" x14ac:dyDescent="0.25">
      <c r="A845" s="7" t="s">
        <v>1502</v>
      </c>
      <c r="B845" s="7" t="s">
        <v>1796</v>
      </c>
      <c r="C845" s="7"/>
      <c r="D845" s="12" t="s">
        <v>1800</v>
      </c>
      <c r="E845" s="8" t="s">
        <v>82</v>
      </c>
      <c r="F845" s="13">
        <v>1E-3</v>
      </c>
      <c r="G845" s="12"/>
    </row>
    <row r="846" spans="1:7" x14ac:dyDescent="0.25">
      <c r="A846" s="7" t="s">
        <v>1502</v>
      </c>
      <c r="B846" s="7" t="s">
        <v>1796</v>
      </c>
      <c r="C846" s="7"/>
      <c r="D846" s="12" t="s">
        <v>1801</v>
      </c>
      <c r="E846" s="8" t="s">
        <v>82</v>
      </c>
      <c r="F846" s="13">
        <v>1E-3</v>
      </c>
      <c r="G846" s="12"/>
    </row>
    <row r="847" spans="1:7" x14ac:dyDescent="0.25">
      <c r="A847" s="7" t="s">
        <v>1502</v>
      </c>
      <c r="B847" s="7" t="s">
        <v>1796</v>
      </c>
      <c r="C847" s="7"/>
      <c r="D847" s="12" t="s">
        <v>1802</v>
      </c>
      <c r="E847" s="8" t="s">
        <v>82</v>
      </c>
      <c r="F847" s="13">
        <v>1E-3</v>
      </c>
      <c r="G847" s="12"/>
    </row>
    <row r="848" spans="1:7" x14ac:dyDescent="0.25">
      <c r="A848" s="7" t="s">
        <v>1502</v>
      </c>
      <c r="B848" s="7" t="s">
        <v>1796</v>
      </c>
      <c r="C848" s="7"/>
      <c r="D848" s="12" t="s">
        <v>1803</v>
      </c>
      <c r="E848" s="8" t="s">
        <v>82</v>
      </c>
      <c r="F848" s="13">
        <v>1E-3</v>
      </c>
      <c r="G848" s="12"/>
    </row>
    <row r="849" spans="1:7" x14ac:dyDescent="0.25">
      <c r="A849" s="7" t="s">
        <v>1502</v>
      </c>
      <c r="B849" s="7" t="s">
        <v>1796</v>
      </c>
      <c r="C849" s="7"/>
      <c r="D849" s="12" t="s">
        <v>1804</v>
      </c>
      <c r="E849" s="8" t="s">
        <v>82</v>
      </c>
      <c r="F849" s="13">
        <v>1E-3</v>
      </c>
      <c r="G849" s="12"/>
    </row>
    <row r="850" spans="1:7" x14ac:dyDescent="0.25">
      <c r="A850" s="7" t="s">
        <v>1805</v>
      </c>
      <c r="B850" s="7" t="s">
        <v>1806</v>
      </c>
      <c r="C850" s="7"/>
      <c r="D850" s="12" t="s">
        <v>1807</v>
      </c>
      <c r="E850" s="8" t="s">
        <v>82</v>
      </c>
      <c r="F850" s="13">
        <v>0.34100000000000003</v>
      </c>
      <c r="G850" s="12"/>
    </row>
    <row r="851" spans="1:7" x14ac:dyDescent="0.25">
      <c r="A851" s="7" t="s">
        <v>1805</v>
      </c>
      <c r="B851" s="7" t="s">
        <v>1806</v>
      </c>
      <c r="C851" s="7"/>
      <c r="D851" s="12" t="s">
        <v>1808</v>
      </c>
      <c r="E851" s="8" t="s">
        <v>82</v>
      </c>
      <c r="F851" s="13">
        <v>0.13100000000000001</v>
      </c>
      <c r="G851" s="12"/>
    </row>
    <row r="852" spans="1:7" x14ac:dyDescent="0.25">
      <c r="A852" s="7" t="s">
        <v>1805</v>
      </c>
      <c r="B852" s="7" t="s">
        <v>1806</v>
      </c>
      <c r="C852" s="7"/>
      <c r="D852" s="12" t="s">
        <v>1809</v>
      </c>
      <c r="E852" s="8" t="s">
        <v>82</v>
      </c>
      <c r="F852" s="13">
        <v>7.0000000000000001E-3</v>
      </c>
      <c r="G852" s="12"/>
    </row>
    <row r="853" spans="1:7" x14ac:dyDescent="0.25">
      <c r="A853" s="7" t="s">
        <v>1805</v>
      </c>
      <c r="B853" s="7" t="s">
        <v>1806</v>
      </c>
      <c r="C853" s="7"/>
      <c r="D853" s="12" t="s">
        <v>1810</v>
      </c>
      <c r="E853" s="8" t="s">
        <v>82</v>
      </c>
      <c r="F853" s="13">
        <v>0.311</v>
      </c>
      <c r="G853" s="12"/>
    </row>
    <row r="854" spans="1:7" x14ac:dyDescent="0.25">
      <c r="A854" s="7" t="s">
        <v>1805</v>
      </c>
      <c r="B854" s="7" t="s">
        <v>1806</v>
      </c>
      <c r="C854" s="7"/>
      <c r="D854" s="12" t="s">
        <v>1811</v>
      </c>
      <c r="E854" s="8" t="s">
        <v>82</v>
      </c>
      <c r="F854" s="13">
        <v>0.159</v>
      </c>
      <c r="G854" s="12"/>
    </row>
    <row r="855" spans="1:7" x14ac:dyDescent="0.25">
      <c r="A855" s="7" t="s">
        <v>1805</v>
      </c>
      <c r="B855" s="7" t="s">
        <v>1812</v>
      </c>
      <c r="C855" s="7"/>
      <c r="D855" s="12" t="s">
        <v>1813</v>
      </c>
      <c r="E855" s="8" t="s">
        <v>82</v>
      </c>
      <c r="F855" s="13">
        <v>3.0000000000000001E-3</v>
      </c>
      <c r="G855" s="12"/>
    </row>
    <row r="856" spans="1:7" x14ac:dyDescent="0.25">
      <c r="A856" s="7" t="s">
        <v>1805</v>
      </c>
      <c r="B856" s="7" t="s">
        <v>1812</v>
      </c>
      <c r="C856" s="7"/>
      <c r="D856" s="12" t="s">
        <v>1814</v>
      </c>
      <c r="E856" s="8" t="s">
        <v>82</v>
      </c>
      <c r="F856" s="13">
        <v>2E-3</v>
      </c>
      <c r="G856" s="12"/>
    </row>
    <row r="857" spans="1:7" x14ac:dyDescent="0.25">
      <c r="A857" s="7" t="s">
        <v>1805</v>
      </c>
      <c r="B857" s="7" t="s">
        <v>1812</v>
      </c>
      <c r="C857" s="7"/>
      <c r="D857" s="12" t="s">
        <v>1815</v>
      </c>
      <c r="E857" s="8" t="s">
        <v>82</v>
      </c>
      <c r="F857" s="13">
        <v>2E-3</v>
      </c>
      <c r="G857" s="12"/>
    </row>
    <row r="858" spans="1:7" x14ac:dyDescent="0.25">
      <c r="A858" s="7" t="s">
        <v>1805</v>
      </c>
      <c r="B858" s="7" t="s">
        <v>1812</v>
      </c>
      <c r="C858" s="7"/>
      <c r="D858" s="12" t="s">
        <v>1816</v>
      </c>
      <c r="E858" s="8" t="s">
        <v>82</v>
      </c>
      <c r="F858" s="13">
        <v>1E-3</v>
      </c>
      <c r="G858" s="12"/>
    </row>
    <row r="859" spans="1:7" x14ac:dyDescent="0.25">
      <c r="A859" s="7" t="s">
        <v>1805</v>
      </c>
      <c r="B859" s="7" t="s">
        <v>1812</v>
      </c>
      <c r="C859" s="7"/>
      <c r="D859" s="12" t="s">
        <v>1817</v>
      </c>
      <c r="E859" s="8" t="s">
        <v>82</v>
      </c>
      <c r="F859" s="13">
        <v>2E-3</v>
      </c>
      <c r="G859" s="12"/>
    </row>
    <row r="860" spans="1:7" x14ac:dyDescent="0.25">
      <c r="A860" s="7" t="s">
        <v>1805</v>
      </c>
      <c r="B860" s="7" t="s">
        <v>1812</v>
      </c>
      <c r="C860" s="7"/>
      <c r="D860" s="12" t="s">
        <v>1818</v>
      </c>
      <c r="E860" s="8" t="s">
        <v>82</v>
      </c>
      <c r="F860" s="13">
        <v>1E-3</v>
      </c>
      <c r="G860" s="12"/>
    </row>
    <row r="861" spans="1:7" ht="25.5" x14ac:dyDescent="0.25">
      <c r="A861" s="7" t="s">
        <v>1805</v>
      </c>
      <c r="B861" s="7" t="s">
        <v>1812</v>
      </c>
      <c r="C861" s="7"/>
      <c r="D861" s="12" t="s">
        <v>1819</v>
      </c>
      <c r="E861" s="8" t="s">
        <v>82</v>
      </c>
      <c r="F861" s="13">
        <v>1.7999999999999999E-2</v>
      </c>
      <c r="G861" s="12"/>
    </row>
    <row r="862" spans="1:7" x14ac:dyDescent="0.25">
      <c r="A862" s="7" t="s">
        <v>1805</v>
      </c>
      <c r="B862" s="7" t="s">
        <v>1812</v>
      </c>
      <c r="C862" s="7"/>
      <c r="D862" s="12" t="s">
        <v>1820</v>
      </c>
      <c r="E862" s="8" t="s">
        <v>82</v>
      </c>
      <c r="F862" s="13">
        <v>2E-3</v>
      </c>
      <c r="G862" s="12"/>
    </row>
    <row r="863" spans="1:7" x14ac:dyDescent="0.25">
      <c r="A863" s="7" t="s">
        <v>1805</v>
      </c>
      <c r="B863" s="7" t="s">
        <v>1812</v>
      </c>
      <c r="C863" s="7"/>
      <c r="D863" s="12" t="s">
        <v>1821</v>
      </c>
      <c r="E863" s="8" t="s">
        <v>82</v>
      </c>
      <c r="F863" s="13">
        <v>2E-3</v>
      </c>
      <c r="G863" s="12"/>
    </row>
    <row r="864" spans="1:7" x14ac:dyDescent="0.25">
      <c r="A864" s="7" t="s">
        <v>1805</v>
      </c>
      <c r="B864" s="7" t="s">
        <v>1812</v>
      </c>
      <c r="C864" s="7"/>
      <c r="D864" s="12" t="s">
        <v>1822</v>
      </c>
      <c r="E864" s="8" t="s">
        <v>82</v>
      </c>
      <c r="F864" s="13">
        <v>2E-3</v>
      </c>
      <c r="G864" s="12" t="s">
        <v>1823</v>
      </c>
    </row>
    <row r="865" spans="1:7" x14ac:dyDescent="0.25">
      <c r="A865" s="7" t="s">
        <v>1805</v>
      </c>
      <c r="B865" s="7" t="s">
        <v>1824</v>
      </c>
      <c r="C865" s="7"/>
      <c r="D865" s="12" t="s">
        <v>1825</v>
      </c>
      <c r="E865" s="8" t="s">
        <v>82</v>
      </c>
      <c r="F865" s="13">
        <v>1E-3</v>
      </c>
      <c r="G865" s="12"/>
    </row>
    <row r="866" spans="1:7" x14ac:dyDescent="0.25">
      <c r="A866" s="7" t="s">
        <v>1805</v>
      </c>
      <c r="B866" s="7" t="s">
        <v>1824</v>
      </c>
      <c r="C866" s="7"/>
      <c r="D866" s="12" t="s">
        <v>1826</v>
      </c>
      <c r="E866" s="8" t="s">
        <v>82</v>
      </c>
      <c r="F866" s="13">
        <v>1E-3</v>
      </c>
      <c r="G866" s="12"/>
    </row>
    <row r="867" spans="1:7" x14ac:dyDescent="0.25">
      <c r="A867" s="7" t="s">
        <v>1805</v>
      </c>
      <c r="B867" s="7" t="s">
        <v>1824</v>
      </c>
      <c r="C867" s="7"/>
      <c r="D867" s="12" t="s">
        <v>1827</v>
      </c>
      <c r="E867" s="8" t="s">
        <v>82</v>
      </c>
      <c r="F867" s="13">
        <v>1E-3</v>
      </c>
      <c r="G867" s="12"/>
    </row>
    <row r="868" spans="1:7" x14ac:dyDescent="0.25">
      <c r="A868" s="7" t="s">
        <v>1805</v>
      </c>
      <c r="B868" s="7" t="s">
        <v>1824</v>
      </c>
      <c r="C868" s="7"/>
      <c r="D868" s="12" t="s">
        <v>1828</v>
      </c>
      <c r="E868" s="8" t="s">
        <v>82</v>
      </c>
      <c r="F868" s="13">
        <v>1E-3</v>
      </c>
      <c r="G868" s="12"/>
    </row>
    <row r="869" spans="1:7" x14ac:dyDescent="0.25">
      <c r="A869" s="7" t="s">
        <v>1805</v>
      </c>
      <c r="B869" s="7" t="s">
        <v>1824</v>
      </c>
      <c r="C869" s="7"/>
      <c r="D869" s="12" t="s">
        <v>1829</v>
      </c>
      <c r="E869" s="8" t="s">
        <v>82</v>
      </c>
      <c r="F869" s="13">
        <v>1E-3</v>
      </c>
      <c r="G869" s="12"/>
    </row>
    <row r="870" spans="1:7" x14ac:dyDescent="0.25">
      <c r="A870" s="7" t="s">
        <v>1805</v>
      </c>
      <c r="B870" s="7" t="s">
        <v>1824</v>
      </c>
      <c r="C870" s="7"/>
      <c r="D870" s="12" t="s">
        <v>1830</v>
      </c>
      <c r="E870" s="8" t="s">
        <v>82</v>
      </c>
      <c r="F870" s="13">
        <v>4.0000000000000001E-3</v>
      </c>
      <c r="G870" s="12"/>
    </row>
    <row r="871" spans="1:7" x14ac:dyDescent="0.25">
      <c r="A871" s="7" t="s">
        <v>1805</v>
      </c>
      <c r="B871" s="7" t="s">
        <v>1824</v>
      </c>
      <c r="C871" s="7"/>
      <c r="D871" s="12" t="s">
        <v>1831</v>
      </c>
      <c r="E871" s="8" t="s">
        <v>82</v>
      </c>
      <c r="F871" s="13">
        <v>1E-3</v>
      </c>
      <c r="G871" s="12"/>
    </row>
    <row r="872" spans="1:7" x14ac:dyDescent="0.25">
      <c r="A872" s="7" t="s">
        <v>1805</v>
      </c>
      <c r="B872" s="7" t="s">
        <v>1832</v>
      </c>
      <c r="C872" s="7"/>
      <c r="D872" s="12" t="s">
        <v>1833</v>
      </c>
      <c r="E872" s="8" t="s">
        <v>82</v>
      </c>
      <c r="F872" s="13">
        <v>1E-3</v>
      </c>
      <c r="G872" s="12"/>
    </row>
    <row r="873" spans="1:7" x14ac:dyDescent="0.25">
      <c r="A873" s="7" t="s">
        <v>1805</v>
      </c>
      <c r="B873" s="7" t="s">
        <v>1832</v>
      </c>
      <c r="C873" s="7"/>
      <c r="D873" s="12" t="s">
        <v>1834</v>
      </c>
      <c r="E873" s="8" t="s">
        <v>82</v>
      </c>
      <c r="F873" s="13">
        <v>1E-3</v>
      </c>
      <c r="G873" s="12"/>
    </row>
    <row r="874" spans="1:7" x14ac:dyDescent="0.25">
      <c r="A874" s="7" t="s">
        <v>1805</v>
      </c>
      <c r="B874" s="7" t="s">
        <v>1835</v>
      </c>
      <c r="C874" s="7"/>
      <c r="D874" s="12" t="s">
        <v>1836</v>
      </c>
      <c r="E874" s="8" t="s">
        <v>82</v>
      </c>
      <c r="F874" s="13">
        <v>1E-3</v>
      </c>
      <c r="G874" s="12"/>
    </row>
    <row r="875" spans="1:7" x14ac:dyDescent="0.25">
      <c r="A875" s="7" t="s">
        <v>1805</v>
      </c>
      <c r="B875" s="7" t="s">
        <v>1835</v>
      </c>
      <c r="C875" s="7"/>
      <c r="D875" s="12" t="s">
        <v>1837</v>
      </c>
      <c r="E875" s="8" t="s">
        <v>82</v>
      </c>
      <c r="F875" s="13">
        <v>1E-3</v>
      </c>
      <c r="G875" s="12"/>
    </row>
    <row r="876" spans="1:7" x14ac:dyDescent="0.25">
      <c r="A876" s="7" t="s">
        <v>1805</v>
      </c>
      <c r="B876" s="7" t="s">
        <v>1835</v>
      </c>
      <c r="C876" s="7"/>
      <c r="D876" s="12" t="s">
        <v>1838</v>
      </c>
      <c r="E876" s="8" t="s">
        <v>82</v>
      </c>
      <c r="F876" s="13">
        <v>1E-3</v>
      </c>
      <c r="G876" s="12"/>
    </row>
    <row r="877" spans="1:7" x14ac:dyDescent="0.25">
      <c r="A877" s="7" t="s">
        <v>1805</v>
      </c>
      <c r="B877" s="7" t="s">
        <v>1835</v>
      </c>
      <c r="C877" s="7"/>
      <c r="D877" s="12" t="s">
        <v>1839</v>
      </c>
      <c r="E877" s="8" t="s">
        <v>82</v>
      </c>
      <c r="F877" s="13">
        <v>2.1999999999999999E-2</v>
      </c>
      <c r="G877" s="12"/>
    </row>
    <row r="878" spans="1:7" x14ac:dyDescent="0.25">
      <c r="A878" s="7" t="s">
        <v>1805</v>
      </c>
      <c r="B878" s="7" t="s">
        <v>1835</v>
      </c>
      <c r="C878" s="7"/>
      <c r="D878" s="12" t="s">
        <v>1840</v>
      </c>
      <c r="E878" s="8" t="s">
        <v>82</v>
      </c>
      <c r="F878" s="13">
        <v>1E-3</v>
      </c>
      <c r="G878" s="12"/>
    </row>
    <row r="879" spans="1:7" x14ac:dyDescent="0.25">
      <c r="A879" s="7" t="s">
        <v>1805</v>
      </c>
      <c r="B879" s="7" t="s">
        <v>1835</v>
      </c>
      <c r="C879" s="7"/>
      <c r="D879" s="12" t="s">
        <v>1841</v>
      </c>
      <c r="E879" s="8" t="s">
        <v>82</v>
      </c>
      <c r="F879" s="13">
        <v>1E-3</v>
      </c>
      <c r="G879" s="12"/>
    </row>
    <row r="880" spans="1:7" x14ac:dyDescent="0.25">
      <c r="A880" s="7" t="s">
        <v>1805</v>
      </c>
      <c r="B880" s="7" t="s">
        <v>1835</v>
      </c>
      <c r="C880" s="7"/>
      <c r="D880" s="12" t="s">
        <v>1842</v>
      </c>
      <c r="E880" s="8" t="s">
        <v>82</v>
      </c>
      <c r="F880" s="13">
        <v>4.2999999999999997E-2</v>
      </c>
      <c r="G880" s="12"/>
    </row>
    <row r="881" spans="1:7" x14ac:dyDescent="0.25">
      <c r="A881" s="7" t="s">
        <v>1805</v>
      </c>
      <c r="B881" s="7" t="s">
        <v>1835</v>
      </c>
      <c r="C881" s="7"/>
      <c r="D881" s="12" t="s">
        <v>1843</v>
      </c>
      <c r="E881" s="8" t="s">
        <v>82</v>
      </c>
      <c r="F881" s="13">
        <v>1E-3</v>
      </c>
      <c r="G881" s="12"/>
    </row>
    <row r="882" spans="1:7" x14ac:dyDescent="0.25">
      <c r="A882" s="7" t="s">
        <v>1805</v>
      </c>
      <c r="B882" s="7" t="s">
        <v>1835</v>
      </c>
      <c r="C882" s="7"/>
      <c r="D882" s="12" t="s">
        <v>1844</v>
      </c>
      <c r="E882" s="8" t="s">
        <v>82</v>
      </c>
      <c r="F882" s="13">
        <v>1.4999999999999999E-2</v>
      </c>
      <c r="G882" s="12"/>
    </row>
    <row r="883" spans="1:7" x14ac:dyDescent="0.25">
      <c r="A883" s="7" t="s">
        <v>1805</v>
      </c>
      <c r="B883" s="7" t="s">
        <v>1835</v>
      </c>
      <c r="C883" s="7"/>
      <c r="D883" s="12" t="s">
        <v>1845</v>
      </c>
      <c r="E883" s="8" t="s">
        <v>82</v>
      </c>
      <c r="F883" s="13">
        <v>1.2E-2</v>
      </c>
      <c r="G883" s="12"/>
    </row>
    <row r="884" spans="1:7" x14ac:dyDescent="0.25">
      <c r="A884" s="7" t="s">
        <v>1805</v>
      </c>
      <c r="B884" s="7" t="s">
        <v>1835</v>
      </c>
      <c r="C884" s="7"/>
      <c r="D884" s="12" t="s">
        <v>1846</v>
      </c>
      <c r="E884" s="8" t="s">
        <v>82</v>
      </c>
      <c r="F884" s="13">
        <v>1.2999999999999999E-2</v>
      </c>
      <c r="G884" s="12"/>
    </row>
    <row r="885" spans="1:7" x14ac:dyDescent="0.25">
      <c r="A885" s="7" t="s">
        <v>1805</v>
      </c>
      <c r="B885" s="7" t="s">
        <v>1847</v>
      </c>
      <c r="C885" s="7"/>
      <c r="D885" s="12" t="s">
        <v>1848</v>
      </c>
      <c r="E885" s="8" t="s">
        <v>82</v>
      </c>
      <c r="F885" s="13">
        <v>1E-3</v>
      </c>
      <c r="G885" s="12"/>
    </row>
    <row r="886" spans="1:7" x14ac:dyDescent="0.25">
      <c r="A886" s="7" t="s">
        <v>1805</v>
      </c>
      <c r="B886" s="7" t="s">
        <v>1847</v>
      </c>
      <c r="C886" s="7"/>
      <c r="D886" s="12" t="s">
        <v>1849</v>
      </c>
      <c r="E886" s="8" t="s">
        <v>82</v>
      </c>
      <c r="F886" s="13">
        <v>1E-3</v>
      </c>
      <c r="G886" s="12"/>
    </row>
    <row r="887" spans="1:7" x14ac:dyDescent="0.25">
      <c r="A887" s="7" t="s">
        <v>1805</v>
      </c>
      <c r="B887" s="7" t="s">
        <v>1847</v>
      </c>
      <c r="C887" s="7"/>
      <c r="D887" s="12" t="s">
        <v>1850</v>
      </c>
      <c r="E887" s="8" t="s">
        <v>82</v>
      </c>
      <c r="F887" s="13">
        <v>1E-3</v>
      </c>
      <c r="G887" s="12"/>
    </row>
    <row r="888" spans="1:7" x14ac:dyDescent="0.25">
      <c r="A888" s="7" t="s">
        <v>1805</v>
      </c>
      <c r="B888" s="7" t="s">
        <v>1847</v>
      </c>
      <c r="C888" s="7"/>
      <c r="D888" s="12" t="s">
        <v>1851</v>
      </c>
      <c r="E888" s="8" t="s">
        <v>82</v>
      </c>
      <c r="F888" s="13">
        <v>1E-3</v>
      </c>
      <c r="G888" s="12"/>
    </row>
    <row r="889" spans="1:7" x14ac:dyDescent="0.25">
      <c r="A889" s="7" t="s">
        <v>1805</v>
      </c>
      <c r="B889" s="7" t="s">
        <v>1847</v>
      </c>
      <c r="C889" s="7"/>
      <c r="D889" s="12" t="s">
        <v>1852</v>
      </c>
      <c r="E889" s="8" t="s">
        <v>82</v>
      </c>
      <c r="F889" s="13">
        <v>3.0000000000000001E-3</v>
      </c>
      <c r="G889" s="12"/>
    </row>
    <row r="890" spans="1:7" x14ac:dyDescent="0.25">
      <c r="A890" s="7" t="s">
        <v>1805</v>
      </c>
      <c r="B890" s="7" t="s">
        <v>1847</v>
      </c>
      <c r="C890" s="7"/>
      <c r="D890" s="12" t="s">
        <v>1829</v>
      </c>
      <c r="E890" s="8" t="s">
        <v>82</v>
      </c>
      <c r="F890" s="13">
        <v>1E-3</v>
      </c>
      <c r="G890" s="12"/>
    </row>
    <row r="891" spans="1:7" x14ac:dyDescent="0.25">
      <c r="A891" s="7" t="s">
        <v>1853</v>
      </c>
      <c r="B891" s="7" t="s">
        <v>1854</v>
      </c>
      <c r="C891" s="7"/>
      <c r="D891" s="12" t="s">
        <v>1855</v>
      </c>
      <c r="E891" s="8" t="s">
        <v>82</v>
      </c>
      <c r="F891" s="13">
        <v>4.0000000000000001E-3</v>
      </c>
      <c r="G891" s="12"/>
    </row>
    <row r="892" spans="1:7" x14ac:dyDescent="0.25">
      <c r="A892" s="7" t="s">
        <v>1853</v>
      </c>
      <c r="B892" s="7" t="s">
        <v>1854</v>
      </c>
      <c r="C892" s="7"/>
      <c r="D892" s="12" t="s">
        <v>1856</v>
      </c>
      <c r="E892" s="8" t="s">
        <v>82</v>
      </c>
      <c r="F892" s="13">
        <v>4.0000000000000001E-3</v>
      </c>
      <c r="G892" s="12"/>
    </row>
    <row r="893" spans="1:7" x14ac:dyDescent="0.25">
      <c r="A893" s="7" t="s">
        <v>1853</v>
      </c>
      <c r="B893" s="7" t="s">
        <v>1854</v>
      </c>
      <c r="C893" s="7"/>
      <c r="D893" s="12" t="s">
        <v>1857</v>
      </c>
      <c r="E893" s="8" t="s">
        <v>82</v>
      </c>
      <c r="F893" s="13">
        <v>3.0000000000000001E-3</v>
      </c>
      <c r="G893" s="12"/>
    </row>
    <row r="894" spans="1:7" x14ac:dyDescent="0.25">
      <c r="A894" s="7" t="s">
        <v>1853</v>
      </c>
      <c r="B894" s="7" t="s">
        <v>1854</v>
      </c>
      <c r="C894" s="7"/>
      <c r="D894" s="12" t="s">
        <v>1858</v>
      </c>
      <c r="E894" s="8" t="s">
        <v>82</v>
      </c>
      <c r="F894" s="13">
        <v>4.0000000000000001E-3</v>
      </c>
      <c r="G894" s="12"/>
    </row>
    <row r="895" spans="1:7" x14ac:dyDescent="0.25">
      <c r="A895" s="7" t="s">
        <v>1853</v>
      </c>
      <c r="B895" s="7" t="s">
        <v>1854</v>
      </c>
      <c r="C895" s="7"/>
      <c r="D895" s="12" t="s">
        <v>1859</v>
      </c>
      <c r="E895" s="8" t="s">
        <v>82</v>
      </c>
      <c r="F895" s="13">
        <v>3.0000000000000001E-3</v>
      </c>
      <c r="G895" s="12"/>
    </row>
    <row r="896" spans="1:7" x14ac:dyDescent="0.25">
      <c r="A896" s="7" t="s">
        <v>1853</v>
      </c>
      <c r="B896" s="7" t="s">
        <v>1854</v>
      </c>
      <c r="C896" s="7"/>
      <c r="D896" s="12" t="s">
        <v>1860</v>
      </c>
      <c r="E896" s="8" t="s">
        <v>82</v>
      </c>
      <c r="F896" s="13">
        <v>3.0000000000000001E-3</v>
      </c>
      <c r="G896" s="12"/>
    </row>
    <row r="897" spans="1:7" x14ac:dyDescent="0.25">
      <c r="A897" s="7" t="s">
        <v>1853</v>
      </c>
      <c r="B897" s="7" t="s">
        <v>1854</v>
      </c>
      <c r="C897" s="7"/>
      <c r="D897" s="12" t="s">
        <v>1861</v>
      </c>
      <c r="E897" s="8" t="s">
        <v>82</v>
      </c>
      <c r="F897" s="13">
        <v>3.0000000000000001E-3</v>
      </c>
      <c r="G897" s="12"/>
    </row>
    <row r="898" spans="1:7" x14ac:dyDescent="0.25">
      <c r="A898" s="7" t="s">
        <v>1853</v>
      </c>
      <c r="B898" s="7" t="s">
        <v>1854</v>
      </c>
      <c r="C898" s="7"/>
      <c r="D898" s="12" t="s">
        <v>1862</v>
      </c>
      <c r="E898" s="8" t="s">
        <v>82</v>
      </c>
      <c r="F898" s="13">
        <v>1E-3</v>
      </c>
      <c r="G898" s="12"/>
    </row>
    <row r="899" spans="1:7" x14ac:dyDescent="0.25">
      <c r="A899" s="7" t="s">
        <v>1853</v>
      </c>
      <c r="B899" s="7" t="s">
        <v>1854</v>
      </c>
      <c r="C899" s="7"/>
      <c r="D899" s="12" t="s">
        <v>1863</v>
      </c>
      <c r="E899" s="8" t="s">
        <v>82</v>
      </c>
      <c r="F899" s="13">
        <v>1E-3</v>
      </c>
      <c r="G899" s="12"/>
    </row>
    <row r="900" spans="1:7" x14ac:dyDescent="0.25">
      <c r="A900" s="7" t="s">
        <v>1853</v>
      </c>
      <c r="B900" s="7" t="s">
        <v>1854</v>
      </c>
      <c r="C900" s="7"/>
      <c r="D900" s="12" t="s">
        <v>1864</v>
      </c>
      <c r="E900" s="8" t="s">
        <v>82</v>
      </c>
      <c r="F900" s="13">
        <v>1E-3</v>
      </c>
      <c r="G900" s="12"/>
    </row>
    <row r="901" spans="1:7" x14ac:dyDescent="0.25">
      <c r="A901" s="7" t="s">
        <v>1853</v>
      </c>
      <c r="B901" s="7" t="s">
        <v>1854</v>
      </c>
      <c r="C901" s="7"/>
      <c r="D901" s="12" t="s">
        <v>1865</v>
      </c>
      <c r="E901" s="8" t="s">
        <v>82</v>
      </c>
      <c r="F901" s="13">
        <v>1E-3</v>
      </c>
      <c r="G901" s="12"/>
    </row>
    <row r="902" spans="1:7" x14ac:dyDescent="0.25">
      <c r="A902" s="7" t="s">
        <v>1853</v>
      </c>
      <c r="B902" s="7" t="s">
        <v>1854</v>
      </c>
      <c r="C902" s="7"/>
      <c r="D902" s="12" t="s">
        <v>1866</v>
      </c>
      <c r="E902" s="8" t="s">
        <v>82</v>
      </c>
      <c r="F902" s="13">
        <v>5.0000000000000001E-3</v>
      </c>
      <c r="G902" s="12"/>
    </row>
    <row r="903" spans="1:7" x14ac:dyDescent="0.25">
      <c r="A903" s="7" t="s">
        <v>1853</v>
      </c>
      <c r="B903" s="7" t="s">
        <v>1854</v>
      </c>
      <c r="C903" s="7"/>
      <c r="D903" s="12" t="s">
        <v>1867</v>
      </c>
      <c r="E903" s="8" t="s">
        <v>82</v>
      </c>
      <c r="F903" s="13">
        <v>5.0000000000000001E-3</v>
      </c>
      <c r="G903" s="12"/>
    </row>
    <row r="904" spans="1:7" x14ac:dyDescent="0.25">
      <c r="A904" s="7" t="s">
        <v>1853</v>
      </c>
      <c r="B904" s="7" t="s">
        <v>1854</v>
      </c>
      <c r="C904" s="7"/>
      <c r="D904" s="12" t="s">
        <v>1868</v>
      </c>
      <c r="E904" s="8" t="s">
        <v>82</v>
      </c>
      <c r="F904" s="13">
        <v>3.0000000000000001E-3</v>
      </c>
      <c r="G904" s="12"/>
    </row>
    <row r="905" spans="1:7" x14ac:dyDescent="0.25">
      <c r="A905" s="7" t="s">
        <v>1853</v>
      </c>
      <c r="B905" s="7" t="s">
        <v>1854</v>
      </c>
      <c r="C905" s="7"/>
      <c r="D905" s="12" t="s">
        <v>1869</v>
      </c>
      <c r="E905" s="8" t="s">
        <v>82</v>
      </c>
      <c r="F905" s="13">
        <v>4.0000000000000001E-3</v>
      </c>
      <c r="G905" s="12"/>
    </row>
    <row r="906" spans="1:7" x14ac:dyDescent="0.25">
      <c r="A906" s="7" t="s">
        <v>1853</v>
      </c>
      <c r="B906" s="7" t="s">
        <v>1854</v>
      </c>
      <c r="C906" s="7"/>
      <c r="D906" s="12" t="s">
        <v>1870</v>
      </c>
      <c r="E906" s="8" t="s">
        <v>82</v>
      </c>
      <c r="F906" s="13">
        <v>3.0000000000000001E-3</v>
      </c>
      <c r="G906" s="12"/>
    </row>
    <row r="907" spans="1:7" x14ac:dyDescent="0.25">
      <c r="A907" s="7" t="s">
        <v>1853</v>
      </c>
      <c r="B907" s="7" t="s">
        <v>1854</v>
      </c>
      <c r="C907" s="7"/>
      <c r="D907" s="12" t="s">
        <v>1871</v>
      </c>
      <c r="E907" s="8" t="s">
        <v>82</v>
      </c>
      <c r="F907" s="13">
        <v>4.0000000000000001E-3</v>
      </c>
      <c r="G907" s="12"/>
    </row>
    <row r="908" spans="1:7" x14ac:dyDescent="0.25">
      <c r="A908" s="7" t="s">
        <v>1853</v>
      </c>
      <c r="B908" s="7" t="s">
        <v>1854</v>
      </c>
      <c r="C908" s="7"/>
      <c r="D908" s="12" t="s">
        <v>1872</v>
      </c>
      <c r="E908" s="8" t="s">
        <v>82</v>
      </c>
      <c r="F908" s="13">
        <v>1E-3</v>
      </c>
      <c r="G908" s="12"/>
    </row>
    <row r="909" spans="1:7" x14ac:dyDescent="0.25">
      <c r="A909" s="7" t="s">
        <v>1853</v>
      </c>
      <c r="B909" s="7" t="s">
        <v>1854</v>
      </c>
      <c r="C909" s="7"/>
      <c r="D909" s="12" t="s">
        <v>1873</v>
      </c>
      <c r="E909" s="8" t="s">
        <v>82</v>
      </c>
      <c r="F909" s="13">
        <v>4.0000000000000001E-3</v>
      </c>
      <c r="G909" s="12"/>
    </row>
    <row r="910" spans="1:7" x14ac:dyDescent="0.25">
      <c r="A910" s="7" t="s">
        <v>1853</v>
      </c>
      <c r="B910" s="7" t="s">
        <v>1874</v>
      </c>
      <c r="C910" s="7"/>
      <c r="D910" s="12" t="s">
        <v>1875</v>
      </c>
      <c r="E910" s="8" t="s">
        <v>82</v>
      </c>
      <c r="F910" s="13">
        <v>0.153</v>
      </c>
      <c r="G910" s="12"/>
    </row>
    <row r="911" spans="1:7" x14ac:dyDescent="0.25">
      <c r="A911" s="7" t="s">
        <v>1853</v>
      </c>
      <c r="B911" s="7" t="s">
        <v>1874</v>
      </c>
      <c r="C911" s="7"/>
      <c r="D911" s="12" t="s">
        <v>1876</v>
      </c>
      <c r="E911" s="8" t="s">
        <v>82</v>
      </c>
      <c r="F911" s="13">
        <v>5.0000000000000001E-3</v>
      </c>
      <c r="G911" s="12"/>
    </row>
    <row r="912" spans="1:7" x14ac:dyDescent="0.25">
      <c r="A912" s="7" t="s">
        <v>1853</v>
      </c>
      <c r="B912" s="7" t="s">
        <v>1874</v>
      </c>
      <c r="C912" s="7"/>
      <c r="D912" s="12" t="s">
        <v>1877</v>
      </c>
      <c r="E912" s="8" t="s">
        <v>82</v>
      </c>
      <c r="F912" s="13">
        <v>1.2999999999999999E-2</v>
      </c>
      <c r="G912" s="12"/>
    </row>
    <row r="913" spans="1:7" x14ac:dyDescent="0.25">
      <c r="A913" s="7" t="s">
        <v>1853</v>
      </c>
      <c r="B913" s="7" t="s">
        <v>1874</v>
      </c>
      <c r="C913" s="7"/>
      <c r="D913" s="12" t="s">
        <v>1878</v>
      </c>
      <c r="E913" s="8" t="s">
        <v>82</v>
      </c>
      <c r="F913" s="13">
        <v>0.22500000000000001</v>
      </c>
      <c r="G913" s="12"/>
    </row>
    <row r="914" spans="1:7" x14ac:dyDescent="0.25">
      <c r="A914" s="7" t="s">
        <v>1853</v>
      </c>
      <c r="B914" s="7" t="s">
        <v>1874</v>
      </c>
      <c r="C914" s="7"/>
      <c r="D914" s="12" t="s">
        <v>1879</v>
      </c>
      <c r="E914" s="8" t="s">
        <v>82</v>
      </c>
      <c r="F914" s="13">
        <v>0.24</v>
      </c>
      <c r="G914" s="12"/>
    </row>
    <row r="915" spans="1:7" x14ac:dyDescent="0.25">
      <c r="A915" s="7" t="s">
        <v>1853</v>
      </c>
      <c r="B915" s="7" t="s">
        <v>1874</v>
      </c>
      <c r="C915" s="7"/>
      <c r="D915" s="12" t="s">
        <v>1880</v>
      </c>
      <c r="E915" s="8" t="s">
        <v>82</v>
      </c>
      <c r="F915" s="13">
        <v>1.2999999999999999E-2</v>
      </c>
      <c r="G915" s="12"/>
    </row>
    <row r="916" spans="1:7" x14ac:dyDescent="0.25">
      <c r="A916" s="7" t="s">
        <v>1853</v>
      </c>
      <c r="B916" s="7" t="s">
        <v>1874</v>
      </c>
      <c r="C916" s="7"/>
      <c r="D916" s="12" t="s">
        <v>1881</v>
      </c>
      <c r="E916" s="8" t="s">
        <v>82</v>
      </c>
      <c r="F916" s="13">
        <v>1.7999999999999999E-2</v>
      </c>
      <c r="G916" s="12"/>
    </row>
    <row r="917" spans="1:7" x14ac:dyDescent="0.25">
      <c r="A917" s="7" t="s">
        <v>1853</v>
      </c>
      <c r="B917" s="7" t="s">
        <v>1874</v>
      </c>
      <c r="C917" s="7"/>
      <c r="D917" s="12" t="s">
        <v>1882</v>
      </c>
      <c r="E917" s="8" t="s">
        <v>82</v>
      </c>
      <c r="F917" s="13">
        <v>6.3E-2</v>
      </c>
      <c r="G917" s="12"/>
    </row>
    <row r="918" spans="1:7" x14ac:dyDescent="0.25">
      <c r="A918" s="7" t="s">
        <v>1853</v>
      </c>
      <c r="B918" s="7" t="s">
        <v>1874</v>
      </c>
      <c r="C918" s="7"/>
      <c r="D918" s="12" t="s">
        <v>1883</v>
      </c>
      <c r="E918" s="8" t="s">
        <v>82</v>
      </c>
      <c r="F918" s="13">
        <v>1.7999999999999999E-2</v>
      </c>
      <c r="G918" s="12"/>
    </row>
    <row r="919" spans="1:7" x14ac:dyDescent="0.25">
      <c r="A919" s="7" t="s">
        <v>1853</v>
      </c>
      <c r="B919" s="7" t="s">
        <v>1874</v>
      </c>
      <c r="C919" s="7"/>
      <c r="D919" s="12" t="s">
        <v>1884</v>
      </c>
      <c r="E919" s="8" t="s">
        <v>82</v>
      </c>
      <c r="F919" s="13">
        <v>2.4E-2</v>
      </c>
      <c r="G919" s="12"/>
    </row>
    <row r="920" spans="1:7" x14ac:dyDescent="0.25">
      <c r="A920" s="7" t="s">
        <v>1853</v>
      </c>
      <c r="B920" s="7" t="s">
        <v>1874</v>
      </c>
      <c r="C920" s="7"/>
      <c r="D920" s="12" t="s">
        <v>1885</v>
      </c>
      <c r="E920" s="8" t="s">
        <v>82</v>
      </c>
      <c r="F920" s="13">
        <v>1.9E-2</v>
      </c>
      <c r="G920" s="12"/>
    </row>
    <row r="921" spans="1:7" x14ac:dyDescent="0.25">
      <c r="A921" s="7" t="s">
        <v>1853</v>
      </c>
      <c r="B921" s="7" t="s">
        <v>1874</v>
      </c>
      <c r="C921" s="7"/>
      <c r="D921" s="12" t="s">
        <v>1886</v>
      </c>
      <c r="E921" s="8" t="s">
        <v>82</v>
      </c>
      <c r="F921" s="13">
        <v>9.6000000000000002E-2</v>
      </c>
      <c r="G921" s="12"/>
    </row>
    <row r="922" spans="1:7" x14ac:dyDescent="0.25">
      <c r="A922" s="7" t="s">
        <v>1853</v>
      </c>
      <c r="B922" s="7" t="s">
        <v>1874</v>
      </c>
      <c r="C922" s="7"/>
      <c r="D922" s="12" t="s">
        <v>1887</v>
      </c>
      <c r="E922" s="8" t="s">
        <v>82</v>
      </c>
      <c r="F922" s="13">
        <v>0.01</v>
      </c>
      <c r="G922" s="12"/>
    </row>
    <row r="923" spans="1:7" x14ac:dyDescent="0.25">
      <c r="A923" s="7" t="s">
        <v>1853</v>
      </c>
      <c r="B923" s="7" t="s">
        <v>1874</v>
      </c>
      <c r="C923" s="7"/>
      <c r="D923" s="12" t="s">
        <v>1888</v>
      </c>
      <c r="E923" s="8" t="s">
        <v>82</v>
      </c>
      <c r="F923" s="13">
        <v>1E-3</v>
      </c>
      <c r="G923" s="12"/>
    </row>
    <row r="924" spans="1:7" x14ac:dyDescent="0.25">
      <c r="A924" s="7" t="s">
        <v>1853</v>
      </c>
      <c r="B924" s="7" t="s">
        <v>1874</v>
      </c>
      <c r="C924" s="7"/>
      <c r="D924" s="12" t="s">
        <v>1889</v>
      </c>
      <c r="E924" s="8" t="s">
        <v>82</v>
      </c>
      <c r="F924" s="13">
        <v>2.1999999999999999E-2</v>
      </c>
      <c r="G924" s="12" t="s">
        <v>1890</v>
      </c>
    </row>
    <row r="925" spans="1:7" x14ac:dyDescent="0.25">
      <c r="A925" s="7" t="s">
        <v>1853</v>
      </c>
      <c r="B925" s="7" t="s">
        <v>1874</v>
      </c>
      <c r="C925" s="7"/>
      <c r="D925" s="12" t="s">
        <v>1891</v>
      </c>
      <c r="E925" s="8" t="s">
        <v>82</v>
      </c>
      <c r="F925" s="13">
        <v>3.5999999999999997E-2</v>
      </c>
      <c r="G925" s="12"/>
    </row>
    <row r="926" spans="1:7" x14ac:dyDescent="0.25">
      <c r="A926" s="7" t="s">
        <v>1853</v>
      </c>
      <c r="B926" s="7" t="s">
        <v>1874</v>
      </c>
      <c r="C926" s="7"/>
      <c r="D926" s="12" t="s">
        <v>1892</v>
      </c>
      <c r="E926" s="8" t="s">
        <v>82</v>
      </c>
      <c r="F926" s="13">
        <v>0.02</v>
      </c>
      <c r="G926" s="12"/>
    </row>
    <row r="927" spans="1:7" x14ac:dyDescent="0.25">
      <c r="A927" s="7" t="s">
        <v>1853</v>
      </c>
      <c r="B927" s="7" t="s">
        <v>1874</v>
      </c>
      <c r="C927" s="7"/>
      <c r="D927" s="12" t="s">
        <v>1893</v>
      </c>
      <c r="E927" s="8" t="s">
        <v>82</v>
      </c>
      <c r="F927" s="13">
        <v>1.9E-2</v>
      </c>
      <c r="G927" s="12"/>
    </row>
    <row r="928" spans="1:7" x14ac:dyDescent="0.25">
      <c r="A928" s="7" t="s">
        <v>1853</v>
      </c>
      <c r="B928" s="7" t="s">
        <v>1874</v>
      </c>
      <c r="C928" s="7"/>
      <c r="D928" s="12" t="s">
        <v>1894</v>
      </c>
      <c r="E928" s="8" t="s">
        <v>82</v>
      </c>
      <c r="F928" s="13">
        <v>1.7999999999999999E-2</v>
      </c>
      <c r="G928" s="12"/>
    </row>
    <row r="929" spans="1:7" x14ac:dyDescent="0.25">
      <c r="A929" s="7" t="s">
        <v>1853</v>
      </c>
      <c r="B929" s="7" t="s">
        <v>1874</v>
      </c>
      <c r="C929" s="7"/>
      <c r="D929" s="12" t="s">
        <v>1895</v>
      </c>
      <c r="E929" s="8" t="s">
        <v>82</v>
      </c>
      <c r="F929" s="13">
        <v>1.9E-2</v>
      </c>
      <c r="G929" s="12"/>
    </row>
    <row r="930" spans="1:7" x14ac:dyDescent="0.25">
      <c r="A930" s="7" t="s">
        <v>1853</v>
      </c>
      <c r="B930" s="7" t="s">
        <v>1874</v>
      </c>
      <c r="C930" s="7"/>
      <c r="D930" s="12" t="s">
        <v>1896</v>
      </c>
      <c r="E930" s="8" t="s">
        <v>82</v>
      </c>
      <c r="F930" s="13">
        <v>1.7999999999999999E-2</v>
      </c>
      <c r="G930" s="12"/>
    </row>
    <row r="931" spans="1:7" x14ac:dyDescent="0.25">
      <c r="A931" s="7" t="s">
        <v>1853</v>
      </c>
      <c r="B931" s="7" t="s">
        <v>1874</v>
      </c>
      <c r="C931" s="7"/>
      <c r="D931" s="12" t="s">
        <v>1897</v>
      </c>
      <c r="E931" s="8" t="s">
        <v>82</v>
      </c>
      <c r="F931" s="13">
        <v>2.1999999999999999E-2</v>
      </c>
      <c r="G931" s="12"/>
    </row>
    <row r="932" spans="1:7" x14ac:dyDescent="0.25">
      <c r="A932" s="7" t="s">
        <v>1853</v>
      </c>
      <c r="B932" s="7" t="s">
        <v>1874</v>
      </c>
      <c r="C932" s="7"/>
      <c r="D932" s="12" t="s">
        <v>1898</v>
      </c>
      <c r="E932" s="8" t="s">
        <v>82</v>
      </c>
      <c r="F932" s="13">
        <v>2.5000000000000001E-2</v>
      </c>
      <c r="G932" s="12"/>
    </row>
    <row r="933" spans="1:7" x14ac:dyDescent="0.25">
      <c r="A933" s="7" t="s">
        <v>1853</v>
      </c>
      <c r="B933" s="7" t="s">
        <v>1874</v>
      </c>
      <c r="C933" s="7"/>
      <c r="D933" s="12" t="s">
        <v>1899</v>
      </c>
      <c r="E933" s="8" t="s">
        <v>82</v>
      </c>
      <c r="F933" s="13">
        <v>3.2000000000000001E-2</v>
      </c>
      <c r="G933" s="12"/>
    </row>
    <row r="934" spans="1:7" x14ac:dyDescent="0.25">
      <c r="A934" s="7" t="s">
        <v>1853</v>
      </c>
      <c r="B934" s="7" t="s">
        <v>1874</v>
      </c>
      <c r="C934" s="7"/>
      <c r="D934" s="12" t="s">
        <v>1900</v>
      </c>
      <c r="E934" s="8" t="s">
        <v>82</v>
      </c>
      <c r="F934" s="13">
        <v>2.1999999999999999E-2</v>
      </c>
      <c r="G934" s="12"/>
    </row>
    <row r="935" spans="1:7" x14ac:dyDescent="0.25">
      <c r="A935" s="7" t="s">
        <v>1853</v>
      </c>
      <c r="B935" s="7" t="s">
        <v>1874</v>
      </c>
      <c r="C935" s="7"/>
      <c r="D935" s="12" t="s">
        <v>1901</v>
      </c>
      <c r="E935" s="8" t="s">
        <v>82</v>
      </c>
      <c r="F935" s="13">
        <v>2.3E-2</v>
      </c>
      <c r="G935" s="12"/>
    </row>
    <row r="936" spans="1:7" x14ac:dyDescent="0.25">
      <c r="A936" s="7" t="s">
        <v>1853</v>
      </c>
      <c r="B936" s="7" t="s">
        <v>1874</v>
      </c>
      <c r="C936" s="7"/>
      <c r="D936" s="12" t="s">
        <v>1902</v>
      </c>
      <c r="E936" s="8" t="s">
        <v>82</v>
      </c>
      <c r="F936" s="13">
        <v>0.02</v>
      </c>
      <c r="G936" s="12"/>
    </row>
    <row r="937" spans="1:7" x14ac:dyDescent="0.25">
      <c r="A937" s="7" t="s">
        <v>1853</v>
      </c>
      <c r="B937" s="7" t="s">
        <v>1874</v>
      </c>
      <c r="C937" s="7"/>
      <c r="D937" s="12" t="s">
        <v>1903</v>
      </c>
      <c r="E937" s="8" t="s">
        <v>82</v>
      </c>
      <c r="F937" s="13">
        <v>0.03</v>
      </c>
      <c r="G937" s="12"/>
    </row>
    <row r="938" spans="1:7" x14ac:dyDescent="0.25">
      <c r="A938" s="7" t="s">
        <v>1853</v>
      </c>
      <c r="B938" s="7" t="s">
        <v>1874</v>
      </c>
      <c r="C938" s="7"/>
      <c r="D938" s="12" t="s">
        <v>1904</v>
      </c>
      <c r="E938" s="8" t="s">
        <v>82</v>
      </c>
      <c r="F938" s="13">
        <v>0.02</v>
      </c>
      <c r="G938" s="12"/>
    </row>
    <row r="939" spans="1:7" x14ac:dyDescent="0.25">
      <c r="A939" s="7" t="s">
        <v>1853</v>
      </c>
      <c r="B939" s="7" t="s">
        <v>1874</v>
      </c>
      <c r="C939" s="7"/>
      <c r="D939" s="12" t="s">
        <v>1905</v>
      </c>
      <c r="E939" s="8" t="s">
        <v>82</v>
      </c>
      <c r="F939" s="13">
        <v>0.115</v>
      </c>
      <c r="G939" s="12"/>
    </row>
    <row r="940" spans="1:7" x14ac:dyDescent="0.25">
      <c r="A940" s="7" t="s">
        <v>1853</v>
      </c>
      <c r="B940" s="7" t="s">
        <v>1874</v>
      </c>
      <c r="C940" s="7"/>
      <c r="D940" s="12" t="s">
        <v>1906</v>
      </c>
      <c r="E940" s="8" t="s">
        <v>82</v>
      </c>
      <c r="F940" s="13">
        <v>2.4E-2</v>
      </c>
      <c r="G940" s="12"/>
    </row>
    <row r="941" spans="1:7" x14ac:dyDescent="0.25">
      <c r="A941" s="7" t="s">
        <v>1853</v>
      </c>
      <c r="B941" s="7" t="s">
        <v>1874</v>
      </c>
      <c r="C941" s="7"/>
      <c r="D941" s="12" t="s">
        <v>1907</v>
      </c>
      <c r="E941" s="8" t="s">
        <v>82</v>
      </c>
      <c r="F941" s="13">
        <v>1.2999999999999999E-2</v>
      </c>
      <c r="G941" s="12"/>
    </row>
    <row r="942" spans="1:7" x14ac:dyDescent="0.25">
      <c r="A942" s="7" t="s">
        <v>1853</v>
      </c>
      <c r="B942" s="7" t="s">
        <v>1874</v>
      </c>
      <c r="C942" s="7"/>
      <c r="D942" s="12" t="s">
        <v>1908</v>
      </c>
      <c r="E942" s="8" t="s">
        <v>82</v>
      </c>
      <c r="F942" s="13">
        <v>1.5820000000000001</v>
      </c>
      <c r="G942" s="12"/>
    </row>
    <row r="943" spans="1:7" x14ac:dyDescent="0.25">
      <c r="A943" s="7" t="s">
        <v>1853</v>
      </c>
      <c r="B943" s="7" t="s">
        <v>1909</v>
      </c>
      <c r="C943" s="7"/>
      <c r="D943" s="12" t="s">
        <v>1910</v>
      </c>
      <c r="E943" s="8" t="s">
        <v>82</v>
      </c>
      <c r="F943" s="13">
        <v>8.5000000000000006E-2</v>
      </c>
      <c r="G943" s="12"/>
    </row>
    <row r="944" spans="1:7" x14ac:dyDescent="0.25">
      <c r="A944" s="7" t="s">
        <v>1853</v>
      </c>
      <c r="B944" s="7" t="s">
        <v>1909</v>
      </c>
      <c r="C944" s="7"/>
      <c r="D944" s="12" t="s">
        <v>1911</v>
      </c>
      <c r="E944" s="8" t="s">
        <v>82</v>
      </c>
      <c r="F944" s="13">
        <v>6.4000000000000001E-2</v>
      </c>
      <c r="G944" s="12"/>
    </row>
    <row r="945" spans="1:7" x14ac:dyDescent="0.25">
      <c r="A945" s="7" t="s">
        <v>1853</v>
      </c>
      <c r="B945" s="7" t="s">
        <v>1909</v>
      </c>
      <c r="C945" s="7"/>
      <c r="D945" s="12" t="s">
        <v>1912</v>
      </c>
      <c r="E945" s="8" t="s">
        <v>82</v>
      </c>
      <c r="F945" s="13">
        <v>6.9000000000000006E-2</v>
      </c>
      <c r="G945" s="12"/>
    </row>
    <row r="946" spans="1:7" x14ac:dyDescent="0.25">
      <c r="A946" s="7" t="s">
        <v>1853</v>
      </c>
      <c r="B946" s="7" t="s">
        <v>1909</v>
      </c>
      <c r="C946" s="7"/>
      <c r="D946" s="12" t="s">
        <v>1913</v>
      </c>
      <c r="E946" s="8" t="s">
        <v>82</v>
      </c>
      <c r="F946" s="13">
        <v>6.4000000000000001E-2</v>
      </c>
      <c r="G946" s="12"/>
    </row>
    <row r="947" spans="1:7" x14ac:dyDescent="0.25">
      <c r="A947" s="7" t="s">
        <v>1853</v>
      </c>
      <c r="B947" s="7" t="s">
        <v>1909</v>
      </c>
      <c r="C947" s="7"/>
      <c r="D947" s="12" t="s">
        <v>1914</v>
      </c>
      <c r="E947" s="8" t="s">
        <v>82</v>
      </c>
      <c r="F947" s="13">
        <v>7.3999999999999996E-2</v>
      </c>
      <c r="G947" s="12"/>
    </row>
    <row r="948" spans="1:7" x14ac:dyDescent="0.25">
      <c r="A948" s="7" t="s">
        <v>1853</v>
      </c>
      <c r="B948" s="7" t="s">
        <v>1909</v>
      </c>
      <c r="C948" s="7"/>
      <c r="D948" s="12" t="s">
        <v>1915</v>
      </c>
      <c r="E948" s="8" t="s">
        <v>82</v>
      </c>
      <c r="F948" s="13">
        <v>7.0999999999999994E-2</v>
      </c>
      <c r="G948" s="12"/>
    </row>
    <row r="949" spans="1:7" x14ac:dyDescent="0.25">
      <c r="A949" s="7" t="s">
        <v>1853</v>
      </c>
      <c r="B949" s="7" t="s">
        <v>1909</v>
      </c>
      <c r="C949" s="7"/>
      <c r="D949" s="12" t="s">
        <v>1916</v>
      </c>
      <c r="E949" s="8" t="s">
        <v>82</v>
      </c>
      <c r="F949" s="13">
        <v>6.9000000000000006E-2</v>
      </c>
      <c r="G949" s="12"/>
    </row>
    <row r="950" spans="1:7" x14ac:dyDescent="0.25">
      <c r="A950" s="7" t="s">
        <v>1853</v>
      </c>
      <c r="B950" s="7" t="s">
        <v>1909</v>
      </c>
      <c r="C950" s="7"/>
      <c r="D950" s="12" t="s">
        <v>1917</v>
      </c>
      <c r="E950" s="8" t="s">
        <v>82</v>
      </c>
      <c r="F950" s="13">
        <v>0.122</v>
      </c>
      <c r="G950" s="12"/>
    </row>
    <row r="951" spans="1:7" x14ac:dyDescent="0.25">
      <c r="A951" s="7" t="s">
        <v>1853</v>
      </c>
      <c r="B951" s="7" t="s">
        <v>1909</v>
      </c>
      <c r="C951" s="7"/>
      <c r="D951" s="12" t="s">
        <v>1918</v>
      </c>
      <c r="E951" s="8" t="s">
        <v>82</v>
      </c>
      <c r="F951" s="13">
        <v>6.3E-2</v>
      </c>
      <c r="G951" s="12"/>
    </row>
    <row r="952" spans="1:7" ht="25.5" x14ac:dyDescent="0.25">
      <c r="A952" s="7" t="s">
        <v>1853</v>
      </c>
      <c r="B952" s="7" t="s">
        <v>1909</v>
      </c>
      <c r="C952" s="7"/>
      <c r="D952" s="12" t="s">
        <v>1919</v>
      </c>
      <c r="E952" s="8" t="s">
        <v>82</v>
      </c>
      <c r="F952" s="13">
        <v>3.5000000000000003E-2</v>
      </c>
      <c r="G952" s="12"/>
    </row>
    <row r="953" spans="1:7" x14ac:dyDescent="0.25">
      <c r="A953" s="7" t="s">
        <v>1853</v>
      </c>
      <c r="B953" s="7" t="s">
        <v>1909</v>
      </c>
      <c r="C953" s="7"/>
      <c r="D953" s="12" t="s">
        <v>1920</v>
      </c>
      <c r="E953" s="8" t="s">
        <v>82</v>
      </c>
      <c r="F953" s="13">
        <v>2.3E-2</v>
      </c>
      <c r="G953" s="12"/>
    </row>
    <row r="954" spans="1:7" x14ac:dyDescent="0.25">
      <c r="A954" s="7" t="s">
        <v>1853</v>
      </c>
      <c r="B954" s="7" t="s">
        <v>1909</v>
      </c>
      <c r="C954" s="7"/>
      <c r="D954" s="12" t="s">
        <v>1921</v>
      </c>
      <c r="E954" s="8" t="s">
        <v>82</v>
      </c>
      <c r="F954" s="13">
        <v>0.108</v>
      </c>
      <c r="G954" s="12"/>
    </row>
    <row r="955" spans="1:7" x14ac:dyDescent="0.25">
      <c r="A955" s="7" t="s">
        <v>1853</v>
      </c>
      <c r="B955" s="7" t="s">
        <v>1909</v>
      </c>
      <c r="C955" s="7"/>
      <c r="D955" s="12" t="s">
        <v>1922</v>
      </c>
      <c r="E955" s="8" t="s">
        <v>82</v>
      </c>
      <c r="F955" s="13">
        <v>8.5000000000000006E-2</v>
      </c>
      <c r="G955" s="12"/>
    </row>
    <row r="956" spans="1:7" x14ac:dyDescent="0.25">
      <c r="A956" s="7" t="s">
        <v>1853</v>
      </c>
      <c r="B956" s="7" t="s">
        <v>1909</v>
      </c>
      <c r="C956" s="7"/>
      <c r="D956" s="12" t="s">
        <v>1923</v>
      </c>
      <c r="E956" s="8" t="s">
        <v>82</v>
      </c>
      <c r="F956" s="13">
        <v>2.3E-2</v>
      </c>
      <c r="G956" s="12"/>
    </row>
    <row r="957" spans="1:7" x14ac:dyDescent="0.25">
      <c r="A957" s="7" t="s">
        <v>1853</v>
      </c>
      <c r="B957" s="7" t="s">
        <v>1909</v>
      </c>
      <c r="C957" s="7"/>
      <c r="D957" s="12" t="s">
        <v>1924</v>
      </c>
      <c r="E957" s="8" t="s">
        <v>82</v>
      </c>
      <c r="F957" s="13">
        <v>2.1999999999999999E-2</v>
      </c>
      <c r="G957" s="12"/>
    </row>
    <row r="958" spans="1:7" x14ac:dyDescent="0.25">
      <c r="A958" s="7" t="s">
        <v>1853</v>
      </c>
      <c r="B958" s="7" t="s">
        <v>1909</v>
      </c>
      <c r="C958" s="7"/>
      <c r="D958" s="12" t="s">
        <v>1925</v>
      </c>
      <c r="E958" s="8" t="s">
        <v>82</v>
      </c>
      <c r="F958" s="13">
        <v>0.27700000000000002</v>
      </c>
      <c r="G958" s="12"/>
    </row>
    <row r="959" spans="1:7" x14ac:dyDescent="0.25">
      <c r="A959" s="7" t="s">
        <v>1853</v>
      </c>
      <c r="B959" s="7" t="s">
        <v>1909</v>
      </c>
      <c r="C959" s="7"/>
      <c r="D959" s="12" t="s">
        <v>1926</v>
      </c>
      <c r="E959" s="8" t="s">
        <v>82</v>
      </c>
      <c r="F959" s="13">
        <v>0.02</v>
      </c>
      <c r="G959" s="12"/>
    </row>
    <row r="960" spans="1:7" x14ac:dyDescent="0.25">
      <c r="A960" s="7" t="s">
        <v>1853</v>
      </c>
      <c r="B960" s="7" t="s">
        <v>1909</v>
      </c>
      <c r="C960" s="7"/>
      <c r="D960" s="12" t="s">
        <v>1927</v>
      </c>
      <c r="E960" s="8" t="s">
        <v>82</v>
      </c>
      <c r="F960" s="13">
        <v>8.9999999999999993E-3</v>
      </c>
      <c r="G960" s="12"/>
    </row>
    <row r="961" spans="1:7" x14ac:dyDescent="0.25">
      <c r="A961" s="7" t="s">
        <v>1853</v>
      </c>
      <c r="B961" s="7" t="s">
        <v>1928</v>
      </c>
      <c r="C961" s="7"/>
      <c r="D961" s="12" t="s">
        <v>1929</v>
      </c>
      <c r="E961" s="8" t="s">
        <v>82</v>
      </c>
      <c r="F961" s="13">
        <v>1.2999999999999999E-2</v>
      </c>
      <c r="G961" s="12"/>
    </row>
    <row r="962" spans="1:7" x14ac:dyDescent="0.25">
      <c r="A962" s="7" t="s">
        <v>1853</v>
      </c>
      <c r="B962" s="7" t="s">
        <v>1928</v>
      </c>
      <c r="C962" s="7"/>
      <c r="D962" s="12" t="s">
        <v>1930</v>
      </c>
      <c r="E962" s="8" t="s">
        <v>82</v>
      </c>
      <c r="F962" s="13">
        <v>8.9999999999999993E-3</v>
      </c>
      <c r="G962" s="12"/>
    </row>
    <row r="963" spans="1:7" x14ac:dyDescent="0.25">
      <c r="A963" s="7" t="s">
        <v>1853</v>
      </c>
      <c r="B963" s="7" t="s">
        <v>1928</v>
      </c>
      <c r="C963" s="7"/>
      <c r="D963" s="12" t="s">
        <v>1931</v>
      </c>
      <c r="E963" s="8" t="s">
        <v>82</v>
      </c>
      <c r="F963" s="13">
        <v>4.0000000000000001E-3</v>
      </c>
      <c r="G963" s="12"/>
    </row>
    <row r="964" spans="1:7" x14ac:dyDescent="0.25">
      <c r="A964" s="7" t="s">
        <v>1853</v>
      </c>
      <c r="B964" s="7" t="s">
        <v>1928</v>
      </c>
      <c r="C964" s="7"/>
      <c r="D964" s="12" t="s">
        <v>1932</v>
      </c>
      <c r="E964" s="8" t="s">
        <v>82</v>
      </c>
      <c r="F964" s="13">
        <v>8.9999999999999993E-3</v>
      </c>
      <c r="G964" s="12"/>
    </row>
    <row r="965" spans="1:7" x14ac:dyDescent="0.25">
      <c r="A965" s="7" t="s">
        <v>1853</v>
      </c>
      <c r="B965" s="7" t="s">
        <v>1928</v>
      </c>
      <c r="C965" s="7"/>
      <c r="D965" s="12" t="s">
        <v>1933</v>
      </c>
      <c r="E965" s="8" t="s">
        <v>82</v>
      </c>
      <c r="F965" s="13">
        <v>4.0000000000000001E-3</v>
      </c>
      <c r="G965" s="12"/>
    </row>
    <row r="966" spans="1:7" x14ac:dyDescent="0.25">
      <c r="A966" s="7" t="s">
        <v>1853</v>
      </c>
      <c r="B966" s="7" t="s">
        <v>1928</v>
      </c>
      <c r="C966" s="7"/>
      <c r="D966" s="12" t="s">
        <v>1934</v>
      </c>
      <c r="E966" s="8" t="s">
        <v>82</v>
      </c>
      <c r="F966" s="13">
        <v>1E-3</v>
      </c>
      <c r="G966" s="12"/>
    </row>
    <row r="967" spans="1:7" x14ac:dyDescent="0.25">
      <c r="A967" s="7" t="s">
        <v>1853</v>
      </c>
      <c r="B967" s="7" t="s">
        <v>1928</v>
      </c>
      <c r="C967" s="7"/>
      <c r="D967" s="12" t="s">
        <v>1935</v>
      </c>
      <c r="E967" s="8" t="s">
        <v>82</v>
      </c>
      <c r="F967" s="13">
        <v>1E-3</v>
      </c>
      <c r="G967" s="12"/>
    </row>
    <row r="968" spans="1:7" x14ac:dyDescent="0.25">
      <c r="A968" s="7" t="s">
        <v>1853</v>
      </c>
      <c r="B968" s="7" t="s">
        <v>1928</v>
      </c>
      <c r="C968" s="7"/>
      <c r="D968" s="12" t="s">
        <v>1936</v>
      </c>
      <c r="E968" s="8" t="s">
        <v>82</v>
      </c>
      <c r="F968" s="13">
        <v>1E-3</v>
      </c>
      <c r="G968" s="12"/>
    </row>
    <row r="969" spans="1:7" x14ac:dyDescent="0.25">
      <c r="A969" s="7" t="s">
        <v>1853</v>
      </c>
      <c r="B969" s="7" t="s">
        <v>1937</v>
      </c>
      <c r="C969" s="7"/>
      <c r="D969" s="12" t="s">
        <v>1938</v>
      </c>
      <c r="E969" s="8" t="s">
        <v>82</v>
      </c>
      <c r="F969" s="13">
        <v>1E-3</v>
      </c>
      <c r="G969" s="12"/>
    </row>
    <row r="970" spans="1:7" x14ac:dyDescent="0.25">
      <c r="A970" s="7" t="s">
        <v>1853</v>
      </c>
      <c r="B970" s="7" t="s">
        <v>1937</v>
      </c>
      <c r="C970" s="7"/>
      <c r="D970" s="12" t="s">
        <v>1939</v>
      </c>
      <c r="E970" s="8" t="s">
        <v>82</v>
      </c>
      <c r="F970" s="13">
        <v>0.1</v>
      </c>
      <c r="G970" s="12"/>
    </row>
    <row r="971" spans="1:7" x14ac:dyDescent="0.25">
      <c r="A971" s="7" t="s">
        <v>1853</v>
      </c>
      <c r="B971" s="7" t="s">
        <v>1937</v>
      </c>
      <c r="C971" s="7"/>
      <c r="D971" s="12" t="s">
        <v>1940</v>
      </c>
      <c r="E971" s="8" t="s">
        <v>82</v>
      </c>
      <c r="F971" s="13">
        <v>3.3000000000000002E-2</v>
      </c>
      <c r="G971" s="12"/>
    </row>
    <row r="972" spans="1:7" x14ac:dyDescent="0.25">
      <c r="A972" s="7" t="s">
        <v>1853</v>
      </c>
      <c r="B972" s="7" t="s">
        <v>1937</v>
      </c>
      <c r="C972" s="7"/>
      <c r="D972" s="12" t="s">
        <v>1941</v>
      </c>
      <c r="E972" s="8" t="s">
        <v>82</v>
      </c>
      <c r="F972" s="13">
        <v>1.2E-2</v>
      </c>
      <c r="G972" s="12"/>
    </row>
    <row r="973" spans="1:7" x14ac:dyDescent="0.25">
      <c r="A973" s="7" t="s">
        <v>1853</v>
      </c>
      <c r="B973" s="7" t="s">
        <v>1937</v>
      </c>
      <c r="C973" s="7"/>
      <c r="D973" s="12" t="s">
        <v>1942</v>
      </c>
      <c r="E973" s="8" t="s">
        <v>82</v>
      </c>
      <c r="F973" s="13">
        <v>1.2999999999999999E-2</v>
      </c>
      <c r="G973" s="12"/>
    </row>
    <row r="974" spans="1:7" x14ac:dyDescent="0.25">
      <c r="A974" s="7" t="s">
        <v>1853</v>
      </c>
      <c r="B974" s="7" t="s">
        <v>1937</v>
      </c>
      <c r="C974" s="7"/>
      <c r="D974" s="12" t="s">
        <v>1943</v>
      </c>
      <c r="E974" s="8" t="s">
        <v>82</v>
      </c>
      <c r="F974" s="13">
        <v>7.5999999999999998E-2</v>
      </c>
      <c r="G974" s="12"/>
    </row>
    <row r="975" spans="1:7" x14ac:dyDescent="0.25">
      <c r="A975" s="7" t="s">
        <v>1853</v>
      </c>
      <c r="B975" s="7" t="s">
        <v>1937</v>
      </c>
      <c r="C975" s="7"/>
      <c r="D975" s="12" t="s">
        <v>1944</v>
      </c>
      <c r="E975" s="8" t="s">
        <v>82</v>
      </c>
      <c r="F975" s="13">
        <v>7.3999999999999996E-2</v>
      </c>
      <c r="G975" s="12"/>
    </row>
    <row r="976" spans="1:7" x14ac:dyDescent="0.25">
      <c r="A976" s="7" t="s">
        <v>1853</v>
      </c>
      <c r="B976" s="7" t="s">
        <v>1937</v>
      </c>
      <c r="C976" s="7"/>
      <c r="D976" s="12" t="s">
        <v>1945</v>
      </c>
      <c r="E976" s="8" t="s">
        <v>82</v>
      </c>
      <c r="F976" s="13">
        <v>5.7000000000000002E-2</v>
      </c>
      <c r="G976" s="12"/>
    </row>
    <row r="977" spans="1:7" x14ac:dyDescent="0.25">
      <c r="A977" s="7" t="s">
        <v>1853</v>
      </c>
      <c r="B977" s="7" t="s">
        <v>1937</v>
      </c>
      <c r="C977" s="7"/>
      <c r="D977" s="12" t="s">
        <v>1946</v>
      </c>
      <c r="E977" s="8" t="s">
        <v>82</v>
      </c>
      <c r="F977" s="13">
        <v>6.3E-2</v>
      </c>
      <c r="G977" s="12"/>
    </row>
    <row r="978" spans="1:7" x14ac:dyDescent="0.25">
      <c r="A978" s="7" t="s">
        <v>1853</v>
      </c>
      <c r="B978" s="7" t="s">
        <v>1937</v>
      </c>
      <c r="C978" s="7"/>
      <c r="D978" s="12" t="s">
        <v>1947</v>
      </c>
      <c r="E978" s="8" t="s">
        <v>82</v>
      </c>
      <c r="F978" s="13">
        <v>9.2999999999999999E-2</v>
      </c>
      <c r="G978" s="12"/>
    </row>
    <row r="979" spans="1:7" x14ac:dyDescent="0.25">
      <c r="A979" s="7" t="s">
        <v>1853</v>
      </c>
      <c r="B979" s="7" t="s">
        <v>1937</v>
      </c>
      <c r="C979" s="7"/>
      <c r="D979" s="12" t="s">
        <v>1948</v>
      </c>
      <c r="E979" s="8" t="s">
        <v>82</v>
      </c>
      <c r="F979" s="13">
        <v>5.3999999999999999E-2</v>
      </c>
      <c r="G979" s="12"/>
    </row>
    <row r="980" spans="1:7" x14ac:dyDescent="0.25">
      <c r="A980" s="7" t="s">
        <v>1853</v>
      </c>
      <c r="B980" s="7" t="s">
        <v>1937</v>
      </c>
      <c r="C980" s="7"/>
      <c r="D980" s="12" t="s">
        <v>1949</v>
      </c>
      <c r="E980" s="8" t="s">
        <v>82</v>
      </c>
      <c r="F980" s="13">
        <v>5.0000000000000001E-3</v>
      </c>
      <c r="G980" s="12"/>
    </row>
    <row r="981" spans="1:7" x14ac:dyDescent="0.25">
      <c r="A981" s="7" t="s">
        <v>1853</v>
      </c>
      <c r="B981" s="7" t="s">
        <v>1937</v>
      </c>
      <c r="C981" s="7"/>
      <c r="D981" s="12" t="s">
        <v>1950</v>
      </c>
      <c r="E981" s="8" t="s">
        <v>82</v>
      </c>
      <c r="F981" s="13">
        <v>5.3999999999999999E-2</v>
      </c>
      <c r="G981" s="12"/>
    </row>
    <row r="982" spans="1:7" x14ac:dyDescent="0.25">
      <c r="A982" s="7" t="s">
        <v>1853</v>
      </c>
      <c r="B982" s="7" t="s">
        <v>1937</v>
      </c>
      <c r="C982" s="7"/>
      <c r="D982" s="12" t="s">
        <v>1951</v>
      </c>
      <c r="E982" s="8" t="s">
        <v>82</v>
      </c>
      <c r="F982" s="13">
        <v>7.6999999999999999E-2</v>
      </c>
      <c r="G982" s="12"/>
    </row>
    <row r="983" spans="1:7" x14ac:dyDescent="0.25">
      <c r="A983" s="7" t="s">
        <v>1853</v>
      </c>
      <c r="B983" s="7" t="s">
        <v>1952</v>
      </c>
      <c r="C983" s="7"/>
      <c r="D983" s="12" t="s">
        <v>1953</v>
      </c>
      <c r="E983" s="8" t="s">
        <v>82</v>
      </c>
      <c r="F983" s="13">
        <v>0.27400000000000002</v>
      </c>
      <c r="G983" s="12"/>
    </row>
    <row r="984" spans="1:7" x14ac:dyDescent="0.25">
      <c r="A984" s="7" t="s">
        <v>1853</v>
      </c>
      <c r="B984" s="7" t="s">
        <v>1952</v>
      </c>
      <c r="C984" s="7"/>
      <c r="D984" s="12" t="s">
        <v>1954</v>
      </c>
      <c r="E984" s="8" t="s">
        <v>82</v>
      </c>
      <c r="F984" s="13">
        <v>0.251</v>
      </c>
      <c r="G984" s="12"/>
    </row>
    <row r="985" spans="1:7" x14ac:dyDescent="0.25">
      <c r="A985" s="7" t="s">
        <v>1853</v>
      </c>
      <c r="B985" s="7" t="s">
        <v>1952</v>
      </c>
      <c r="C985" s="7"/>
      <c r="D985" s="12" t="s">
        <v>1955</v>
      </c>
      <c r="E985" s="8" t="s">
        <v>82</v>
      </c>
      <c r="F985" s="13">
        <v>0.35299999999999998</v>
      </c>
      <c r="G985" s="12"/>
    </row>
    <row r="986" spans="1:7" x14ac:dyDescent="0.25">
      <c r="A986" s="7" t="s">
        <v>1853</v>
      </c>
      <c r="B986" s="7" t="s">
        <v>1956</v>
      </c>
      <c r="C986" s="7"/>
      <c r="D986" s="12" t="s">
        <v>1957</v>
      </c>
      <c r="E986" s="8" t="s">
        <v>82</v>
      </c>
      <c r="F986" s="13">
        <v>0.06</v>
      </c>
      <c r="G986" s="12"/>
    </row>
    <row r="987" spans="1:7" x14ac:dyDescent="0.25">
      <c r="A987" s="7" t="s">
        <v>1853</v>
      </c>
      <c r="B987" s="7" t="s">
        <v>1956</v>
      </c>
      <c r="C987" s="7"/>
      <c r="D987" s="12" t="s">
        <v>1958</v>
      </c>
      <c r="E987" s="8" t="s">
        <v>82</v>
      </c>
      <c r="F987" s="13">
        <v>5.1999999999999998E-2</v>
      </c>
      <c r="G987" s="12"/>
    </row>
    <row r="988" spans="1:7" x14ac:dyDescent="0.25">
      <c r="A988" s="7" t="s">
        <v>1853</v>
      </c>
      <c r="B988" s="7" t="s">
        <v>1956</v>
      </c>
      <c r="C988" s="7"/>
      <c r="D988" s="12" t="s">
        <v>1959</v>
      </c>
      <c r="E988" s="8" t="s">
        <v>82</v>
      </c>
      <c r="F988" s="13">
        <v>5.1999999999999998E-2</v>
      </c>
      <c r="G988" s="12"/>
    </row>
    <row r="989" spans="1:7" x14ac:dyDescent="0.25">
      <c r="A989" s="7" t="s">
        <v>1853</v>
      </c>
      <c r="B989" s="7" t="s">
        <v>1956</v>
      </c>
      <c r="C989" s="7"/>
      <c r="D989" s="12" t="s">
        <v>1960</v>
      </c>
      <c r="E989" s="8" t="s">
        <v>82</v>
      </c>
      <c r="F989" s="13">
        <v>0.11600000000000001</v>
      </c>
      <c r="G989" s="12"/>
    </row>
    <row r="990" spans="1:7" x14ac:dyDescent="0.25">
      <c r="A990" s="7" t="s">
        <v>1853</v>
      </c>
      <c r="B990" s="7" t="s">
        <v>1956</v>
      </c>
      <c r="C990" s="7"/>
      <c r="D990" s="12" t="s">
        <v>1961</v>
      </c>
      <c r="E990" s="8" t="s">
        <v>82</v>
      </c>
      <c r="F990" s="13">
        <v>4.3999999999999997E-2</v>
      </c>
      <c r="G990" s="12"/>
    </row>
    <row r="991" spans="1:7" x14ac:dyDescent="0.25">
      <c r="A991" s="7" t="s">
        <v>1853</v>
      </c>
      <c r="B991" s="7" t="s">
        <v>1956</v>
      </c>
      <c r="C991" s="7"/>
      <c r="D991" s="12" t="s">
        <v>1962</v>
      </c>
      <c r="E991" s="8" t="s">
        <v>82</v>
      </c>
      <c r="F991" s="13">
        <v>8.0000000000000002E-3</v>
      </c>
      <c r="G991" s="12"/>
    </row>
    <row r="992" spans="1:7" x14ac:dyDescent="0.25">
      <c r="A992" s="7" t="s">
        <v>1853</v>
      </c>
      <c r="B992" s="7" t="s">
        <v>1956</v>
      </c>
      <c r="C992" s="7"/>
      <c r="D992" s="12" t="s">
        <v>1963</v>
      </c>
      <c r="E992" s="8" t="s">
        <v>82</v>
      </c>
      <c r="F992" s="13">
        <v>8.2000000000000003E-2</v>
      </c>
      <c r="G992" s="12"/>
    </row>
    <row r="993" spans="1:7" x14ac:dyDescent="0.25">
      <c r="A993" s="7" t="s">
        <v>1853</v>
      </c>
      <c r="B993" s="7" t="s">
        <v>1956</v>
      </c>
      <c r="C993" s="7"/>
      <c r="D993" s="12" t="s">
        <v>1964</v>
      </c>
      <c r="E993" s="8" t="s">
        <v>82</v>
      </c>
      <c r="F993" s="13">
        <v>0.108</v>
      </c>
      <c r="G993" s="12"/>
    </row>
    <row r="994" spans="1:7" x14ac:dyDescent="0.25">
      <c r="A994" s="7" t="s">
        <v>1853</v>
      </c>
      <c r="B994" s="7" t="s">
        <v>1956</v>
      </c>
      <c r="C994" s="7"/>
      <c r="D994" s="12" t="s">
        <v>1965</v>
      </c>
      <c r="E994" s="8" t="s">
        <v>82</v>
      </c>
      <c r="F994" s="13">
        <v>5.0000000000000001E-3</v>
      </c>
      <c r="G994" s="12"/>
    </row>
    <row r="995" spans="1:7" x14ac:dyDescent="0.25">
      <c r="A995" s="7" t="s">
        <v>1853</v>
      </c>
      <c r="B995" s="7" t="s">
        <v>1956</v>
      </c>
      <c r="C995" s="7"/>
      <c r="D995" s="12" t="s">
        <v>1966</v>
      </c>
      <c r="E995" s="8" t="s">
        <v>82</v>
      </c>
      <c r="F995" s="13">
        <v>0.10299999999999999</v>
      </c>
      <c r="G995" s="12"/>
    </row>
    <row r="996" spans="1:7" x14ac:dyDescent="0.25">
      <c r="A996" s="7" t="s">
        <v>1853</v>
      </c>
      <c r="B996" s="7" t="s">
        <v>1967</v>
      </c>
      <c r="C996" s="7"/>
      <c r="D996" s="12" t="s">
        <v>1968</v>
      </c>
      <c r="E996" s="8" t="s">
        <v>82</v>
      </c>
      <c r="F996" s="13">
        <v>3.7999999999999999E-2</v>
      </c>
      <c r="G996" s="12"/>
    </row>
    <row r="997" spans="1:7" x14ac:dyDescent="0.25">
      <c r="A997" s="7" t="s">
        <v>1853</v>
      </c>
      <c r="B997" s="7" t="s">
        <v>1967</v>
      </c>
      <c r="C997" s="7"/>
      <c r="D997" s="12" t="s">
        <v>1969</v>
      </c>
      <c r="E997" s="8" t="s">
        <v>82</v>
      </c>
      <c r="F997" s="13">
        <v>2.4E-2</v>
      </c>
      <c r="G997" s="12"/>
    </row>
    <row r="998" spans="1:7" x14ac:dyDescent="0.25">
      <c r="A998" s="7" t="s">
        <v>1853</v>
      </c>
      <c r="B998" s="7" t="s">
        <v>1967</v>
      </c>
      <c r="C998" s="7"/>
      <c r="D998" s="12" t="s">
        <v>1970</v>
      </c>
      <c r="E998" s="8" t="s">
        <v>82</v>
      </c>
      <c r="F998" s="13">
        <v>3.1E-2</v>
      </c>
      <c r="G998" s="12"/>
    </row>
    <row r="999" spans="1:7" x14ac:dyDescent="0.25">
      <c r="A999" s="7" t="s">
        <v>1971</v>
      </c>
      <c r="B999" s="7" t="s">
        <v>1972</v>
      </c>
      <c r="C999" s="7"/>
      <c r="D999" s="12" t="s">
        <v>1973</v>
      </c>
      <c r="E999" s="8" t="s">
        <v>82</v>
      </c>
      <c r="F999" s="13">
        <v>2.5000000000000001E-2</v>
      </c>
      <c r="G999" s="12"/>
    </row>
    <row r="1000" spans="1:7" x14ac:dyDescent="0.25">
      <c r="A1000" s="7" t="s">
        <v>1971</v>
      </c>
      <c r="B1000" s="7" t="s">
        <v>1972</v>
      </c>
      <c r="C1000" s="7"/>
      <c r="D1000" s="12" t="s">
        <v>1974</v>
      </c>
      <c r="E1000" s="8" t="s">
        <v>82</v>
      </c>
      <c r="F1000" s="13">
        <v>2.5999999999999999E-2</v>
      </c>
      <c r="G1000" s="12"/>
    </row>
    <row r="1001" spans="1:7" x14ac:dyDescent="0.25">
      <c r="A1001" s="7" t="s">
        <v>1971</v>
      </c>
      <c r="B1001" s="7" t="s">
        <v>1972</v>
      </c>
      <c r="C1001" s="7"/>
      <c r="D1001" s="12" t="s">
        <v>1975</v>
      </c>
      <c r="E1001" s="8" t="s">
        <v>82</v>
      </c>
      <c r="F1001" s="13">
        <v>1.6E-2</v>
      </c>
      <c r="G1001" s="12"/>
    </row>
    <row r="1002" spans="1:7" x14ac:dyDescent="0.25">
      <c r="A1002" s="7" t="s">
        <v>1971</v>
      </c>
      <c r="B1002" s="7" t="s">
        <v>1972</v>
      </c>
      <c r="C1002" s="7"/>
      <c r="D1002" s="12" t="s">
        <v>1976</v>
      </c>
      <c r="E1002" s="8" t="s">
        <v>82</v>
      </c>
      <c r="F1002" s="13">
        <v>1E-3</v>
      </c>
      <c r="G1002" s="12"/>
    </row>
    <row r="1003" spans="1:7" x14ac:dyDescent="0.25">
      <c r="A1003" s="7" t="s">
        <v>1971</v>
      </c>
      <c r="B1003" s="7" t="s">
        <v>1972</v>
      </c>
      <c r="C1003" s="7"/>
      <c r="D1003" s="12" t="s">
        <v>1977</v>
      </c>
      <c r="E1003" s="8" t="s">
        <v>82</v>
      </c>
      <c r="F1003" s="13">
        <v>0.104</v>
      </c>
      <c r="G1003" s="12"/>
    </row>
    <row r="1004" spans="1:7" x14ac:dyDescent="0.25">
      <c r="A1004" s="7" t="s">
        <v>1971</v>
      </c>
      <c r="B1004" s="7" t="s">
        <v>1972</v>
      </c>
      <c r="C1004" s="7"/>
      <c r="D1004" s="12" t="s">
        <v>1978</v>
      </c>
      <c r="E1004" s="8" t="s">
        <v>82</v>
      </c>
      <c r="F1004" s="13">
        <v>2E-3</v>
      </c>
      <c r="G1004" s="12"/>
    </row>
    <row r="1005" spans="1:7" x14ac:dyDescent="0.25">
      <c r="A1005" s="7" t="s">
        <v>1971</v>
      </c>
      <c r="B1005" s="7" t="s">
        <v>1972</v>
      </c>
      <c r="C1005" s="7"/>
      <c r="D1005" s="12" t="s">
        <v>1979</v>
      </c>
      <c r="E1005" s="8" t="s">
        <v>82</v>
      </c>
      <c r="F1005" s="13">
        <v>7.1999999999999995E-2</v>
      </c>
      <c r="G1005" s="12"/>
    </row>
    <row r="1006" spans="1:7" x14ac:dyDescent="0.25">
      <c r="A1006" s="7" t="s">
        <v>1971</v>
      </c>
      <c r="B1006" s="7" t="s">
        <v>1972</v>
      </c>
      <c r="C1006" s="7"/>
      <c r="D1006" s="12" t="s">
        <v>1980</v>
      </c>
      <c r="E1006" s="8" t="s">
        <v>82</v>
      </c>
      <c r="F1006" s="13">
        <v>1E-3</v>
      </c>
      <c r="G1006" s="12"/>
    </row>
    <row r="1007" spans="1:7" x14ac:dyDescent="0.25">
      <c r="A1007" s="7" t="s">
        <v>1971</v>
      </c>
      <c r="B1007" s="7" t="s">
        <v>1972</v>
      </c>
      <c r="C1007" s="7"/>
      <c r="D1007" s="12" t="s">
        <v>1981</v>
      </c>
      <c r="E1007" s="8" t="s">
        <v>82</v>
      </c>
      <c r="F1007" s="13">
        <v>1E-3</v>
      </c>
      <c r="G1007" s="12"/>
    </row>
    <row r="1008" spans="1:7" x14ac:dyDescent="0.25">
      <c r="A1008" s="7" t="s">
        <v>1971</v>
      </c>
      <c r="B1008" s="7" t="s">
        <v>1972</v>
      </c>
      <c r="C1008" s="7"/>
      <c r="D1008" s="12" t="s">
        <v>1982</v>
      </c>
      <c r="E1008" s="8" t="s">
        <v>82</v>
      </c>
      <c r="F1008" s="13">
        <v>2E-3</v>
      </c>
      <c r="G1008" s="12"/>
    </row>
    <row r="1009" spans="1:7" x14ac:dyDescent="0.25">
      <c r="A1009" s="7" t="s">
        <v>1971</v>
      </c>
      <c r="B1009" s="7" t="s">
        <v>1972</v>
      </c>
      <c r="C1009" s="7"/>
      <c r="D1009" s="12" t="s">
        <v>1983</v>
      </c>
      <c r="E1009" s="8" t="s">
        <v>82</v>
      </c>
      <c r="F1009" s="13">
        <v>1E-3</v>
      </c>
      <c r="G1009" s="12"/>
    </row>
    <row r="1010" spans="1:7" x14ac:dyDescent="0.25">
      <c r="A1010" s="7" t="s">
        <v>1971</v>
      </c>
      <c r="B1010" s="7" t="s">
        <v>1972</v>
      </c>
      <c r="C1010" s="7"/>
      <c r="D1010" s="12" t="s">
        <v>1984</v>
      </c>
      <c r="E1010" s="8" t="s">
        <v>82</v>
      </c>
      <c r="F1010" s="13">
        <v>1E-3</v>
      </c>
      <c r="G1010" s="12"/>
    </row>
    <row r="1011" spans="1:7" x14ac:dyDescent="0.25">
      <c r="A1011" s="7" t="s">
        <v>1971</v>
      </c>
      <c r="B1011" s="7" t="s">
        <v>1972</v>
      </c>
      <c r="C1011" s="7"/>
      <c r="D1011" s="12" t="s">
        <v>1985</v>
      </c>
      <c r="E1011" s="8" t="s">
        <v>82</v>
      </c>
      <c r="F1011" s="13">
        <v>1E-3</v>
      </c>
      <c r="G1011" s="12"/>
    </row>
    <row r="1012" spans="1:7" ht="25.5" x14ac:dyDescent="0.25">
      <c r="A1012" s="7" t="s">
        <v>1971</v>
      </c>
      <c r="B1012" s="7" t="s">
        <v>1986</v>
      </c>
      <c r="C1012" s="7"/>
      <c r="D1012" s="12" t="s">
        <v>1987</v>
      </c>
      <c r="E1012" s="8" t="s">
        <v>82</v>
      </c>
      <c r="F1012" s="13">
        <v>3.4000000000000002E-2</v>
      </c>
      <c r="G1012" s="12"/>
    </row>
    <row r="1013" spans="1:7" ht="25.5" x14ac:dyDescent="0.25">
      <c r="A1013" s="7" t="s">
        <v>1971</v>
      </c>
      <c r="B1013" s="7" t="s">
        <v>1986</v>
      </c>
      <c r="C1013" s="7"/>
      <c r="D1013" s="12" t="s">
        <v>1988</v>
      </c>
      <c r="E1013" s="8" t="s">
        <v>82</v>
      </c>
      <c r="F1013" s="13">
        <v>2.1000000000000001E-2</v>
      </c>
      <c r="G1013" s="12"/>
    </row>
    <row r="1014" spans="1:7" ht="25.5" x14ac:dyDescent="0.25">
      <c r="A1014" s="7" t="s">
        <v>1971</v>
      </c>
      <c r="B1014" s="7" t="s">
        <v>1986</v>
      </c>
      <c r="C1014" s="7"/>
      <c r="D1014" s="12" t="s">
        <v>1989</v>
      </c>
      <c r="E1014" s="8" t="s">
        <v>82</v>
      </c>
      <c r="F1014" s="13">
        <v>1.7999999999999999E-2</v>
      </c>
      <c r="G1014" s="12"/>
    </row>
    <row r="1015" spans="1:7" ht="25.5" x14ac:dyDescent="0.25">
      <c r="A1015" s="7" t="s">
        <v>1971</v>
      </c>
      <c r="B1015" s="7" t="s">
        <v>1986</v>
      </c>
      <c r="C1015" s="7"/>
      <c r="D1015" s="12" t="s">
        <v>1990</v>
      </c>
      <c r="E1015" s="8" t="s">
        <v>82</v>
      </c>
      <c r="F1015" s="13">
        <v>0.02</v>
      </c>
      <c r="G1015" s="12"/>
    </row>
    <row r="1016" spans="1:7" ht="25.5" x14ac:dyDescent="0.25">
      <c r="A1016" s="7" t="s">
        <v>1971</v>
      </c>
      <c r="B1016" s="7" t="s">
        <v>1986</v>
      </c>
      <c r="C1016" s="7"/>
      <c r="D1016" s="12" t="s">
        <v>1991</v>
      </c>
      <c r="E1016" s="8" t="s">
        <v>82</v>
      </c>
      <c r="F1016" s="13">
        <v>2.1000000000000001E-2</v>
      </c>
      <c r="G1016" s="12"/>
    </row>
    <row r="1017" spans="1:7" ht="25.5" x14ac:dyDescent="0.25">
      <c r="A1017" s="7" t="s">
        <v>1971</v>
      </c>
      <c r="B1017" s="7" t="s">
        <v>1986</v>
      </c>
      <c r="C1017" s="7"/>
      <c r="D1017" s="12" t="s">
        <v>1992</v>
      </c>
      <c r="E1017" s="8" t="s">
        <v>82</v>
      </c>
      <c r="F1017" s="13">
        <v>2.4E-2</v>
      </c>
      <c r="G1017" s="12"/>
    </row>
    <row r="1018" spans="1:7" ht="25.5" x14ac:dyDescent="0.25">
      <c r="A1018" s="7" t="s">
        <v>1971</v>
      </c>
      <c r="B1018" s="7" t="s">
        <v>1986</v>
      </c>
      <c r="C1018" s="7"/>
      <c r="D1018" s="12" t="s">
        <v>1993</v>
      </c>
      <c r="E1018" s="8" t="s">
        <v>82</v>
      </c>
      <c r="F1018" s="13">
        <v>1.9E-2</v>
      </c>
      <c r="G1018" s="12"/>
    </row>
    <row r="1019" spans="1:7" ht="25.5" x14ac:dyDescent="0.25">
      <c r="A1019" s="7" t="s">
        <v>1971</v>
      </c>
      <c r="B1019" s="7" t="s">
        <v>1986</v>
      </c>
      <c r="C1019" s="7"/>
      <c r="D1019" s="12" t="s">
        <v>1994</v>
      </c>
      <c r="E1019" s="8" t="s">
        <v>82</v>
      </c>
      <c r="F1019" s="13">
        <v>0.02</v>
      </c>
      <c r="G1019" s="12"/>
    </row>
    <row r="1020" spans="1:7" ht="25.5" x14ac:dyDescent="0.25">
      <c r="A1020" s="7" t="s">
        <v>1971</v>
      </c>
      <c r="B1020" s="7" t="s">
        <v>1986</v>
      </c>
      <c r="C1020" s="7"/>
      <c r="D1020" s="12" t="s">
        <v>1995</v>
      </c>
      <c r="E1020" s="8" t="s">
        <v>82</v>
      </c>
      <c r="F1020" s="13">
        <v>2.1999999999999999E-2</v>
      </c>
      <c r="G1020" s="12"/>
    </row>
    <row r="1021" spans="1:7" ht="25.5" x14ac:dyDescent="0.25">
      <c r="A1021" s="7" t="s">
        <v>1971</v>
      </c>
      <c r="B1021" s="7" t="s">
        <v>1986</v>
      </c>
      <c r="C1021" s="7"/>
      <c r="D1021" s="12" t="s">
        <v>1996</v>
      </c>
      <c r="E1021" s="8" t="s">
        <v>82</v>
      </c>
      <c r="F1021" s="13">
        <v>0.02</v>
      </c>
      <c r="G1021" s="12"/>
    </row>
    <row r="1022" spans="1:7" ht="25.5" x14ac:dyDescent="0.25">
      <c r="A1022" s="7" t="s">
        <v>1971</v>
      </c>
      <c r="B1022" s="7" t="s">
        <v>1986</v>
      </c>
      <c r="C1022" s="7"/>
      <c r="D1022" s="12" t="s">
        <v>1997</v>
      </c>
      <c r="E1022" s="8" t="s">
        <v>82</v>
      </c>
      <c r="F1022" s="13">
        <v>2.7E-2</v>
      </c>
      <c r="G1022" s="12"/>
    </row>
    <row r="1023" spans="1:7" ht="25.5" x14ac:dyDescent="0.25">
      <c r="A1023" s="7" t="s">
        <v>1971</v>
      </c>
      <c r="B1023" s="7" t="s">
        <v>1986</v>
      </c>
      <c r="C1023" s="7"/>
      <c r="D1023" s="12" t="s">
        <v>1998</v>
      </c>
      <c r="E1023" s="8" t="s">
        <v>82</v>
      </c>
      <c r="F1023" s="13">
        <v>2.5999999999999999E-2</v>
      </c>
      <c r="G1023" s="12"/>
    </row>
    <row r="1024" spans="1:7" ht="25.5" x14ac:dyDescent="0.25">
      <c r="A1024" s="7" t="s">
        <v>1971</v>
      </c>
      <c r="B1024" s="7" t="s">
        <v>1986</v>
      </c>
      <c r="C1024" s="7"/>
      <c r="D1024" s="12" t="s">
        <v>1999</v>
      </c>
      <c r="E1024" s="8" t="s">
        <v>82</v>
      </c>
      <c r="F1024" s="13">
        <v>2.4E-2</v>
      </c>
      <c r="G1024" s="12"/>
    </row>
    <row r="1025" spans="1:7" ht="25.5" x14ac:dyDescent="0.25">
      <c r="A1025" s="7" t="s">
        <v>1971</v>
      </c>
      <c r="B1025" s="7" t="s">
        <v>1986</v>
      </c>
      <c r="C1025" s="7"/>
      <c r="D1025" s="12" t="s">
        <v>2000</v>
      </c>
      <c r="E1025" s="8" t="s">
        <v>82</v>
      </c>
      <c r="F1025" s="13">
        <v>2.5000000000000001E-2</v>
      </c>
      <c r="G1025" s="12"/>
    </row>
    <row r="1026" spans="1:7" ht="25.5" x14ac:dyDescent="0.25">
      <c r="A1026" s="7" t="s">
        <v>1971</v>
      </c>
      <c r="B1026" s="7" t="s">
        <v>1986</v>
      </c>
      <c r="C1026" s="7"/>
      <c r="D1026" s="12" t="s">
        <v>2001</v>
      </c>
      <c r="E1026" s="8" t="s">
        <v>82</v>
      </c>
      <c r="F1026" s="13">
        <v>2.1999999999999999E-2</v>
      </c>
      <c r="G1026" s="12"/>
    </row>
    <row r="1027" spans="1:7" x14ac:dyDescent="0.25">
      <c r="A1027" s="7" t="s">
        <v>1971</v>
      </c>
      <c r="B1027" s="7" t="s">
        <v>1986</v>
      </c>
      <c r="C1027" s="7"/>
      <c r="D1027" s="12" t="s">
        <v>2002</v>
      </c>
      <c r="E1027" s="8" t="s">
        <v>82</v>
      </c>
      <c r="F1027" s="13">
        <v>2.1000000000000001E-2</v>
      </c>
      <c r="G1027" s="12"/>
    </row>
    <row r="1028" spans="1:7" x14ac:dyDescent="0.25">
      <c r="A1028" s="7" t="s">
        <v>1971</v>
      </c>
      <c r="B1028" s="7" t="s">
        <v>1986</v>
      </c>
      <c r="C1028" s="7"/>
      <c r="D1028" s="12" t="s">
        <v>2003</v>
      </c>
      <c r="E1028" s="8" t="s">
        <v>82</v>
      </c>
      <c r="F1028" s="13">
        <v>2.1000000000000001E-2</v>
      </c>
      <c r="G1028" s="12"/>
    </row>
    <row r="1029" spans="1:7" ht="25.5" x14ac:dyDescent="0.25">
      <c r="A1029" s="7" t="s">
        <v>1971</v>
      </c>
      <c r="B1029" s="7" t="s">
        <v>1986</v>
      </c>
      <c r="C1029" s="7"/>
      <c r="D1029" s="12" t="s">
        <v>2004</v>
      </c>
      <c r="E1029" s="8" t="s">
        <v>82</v>
      </c>
      <c r="F1029" s="13">
        <v>2.1999999999999999E-2</v>
      </c>
      <c r="G1029" s="12"/>
    </row>
    <row r="1030" spans="1:7" ht="25.5" x14ac:dyDescent="0.25">
      <c r="A1030" s="7" t="s">
        <v>1971</v>
      </c>
      <c r="B1030" s="7" t="s">
        <v>1986</v>
      </c>
      <c r="C1030" s="7"/>
      <c r="D1030" s="12" t="s">
        <v>2005</v>
      </c>
      <c r="E1030" s="8" t="s">
        <v>82</v>
      </c>
      <c r="F1030" s="13">
        <v>2.1999999999999999E-2</v>
      </c>
      <c r="G1030" s="12"/>
    </row>
    <row r="1031" spans="1:7" ht="25.5" x14ac:dyDescent="0.25">
      <c r="A1031" s="7" t="s">
        <v>1971</v>
      </c>
      <c r="B1031" s="7" t="s">
        <v>1986</v>
      </c>
      <c r="C1031" s="7"/>
      <c r="D1031" s="12" t="s">
        <v>2006</v>
      </c>
      <c r="E1031" s="8" t="s">
        <v>82</v>
      </c>
      <c r="F1031" s="13">
        <v>0.02</v>
      </c>
      <c r="G1031" s="12"/>
    </row>
    <row r="1032" spans="1:7" ht="25.5" x14ac:dyDescent="0.25">
      <c r="A1032" s="7" t="s">
        <v>1971</v>
      </c>
      <c r="B1032" s="7" t="s">
        <v>1986</v>
      </c>
      <c r="C1032" s="7"/>
      <c r="D1032" s="12" t="s">
        <v>2007</v>
      </c>
      <c r="E1032" s="8" t="s">
        <v>82</v>
      </c>
      <c r="F1032" s="13">
        <v>2.9000000000000001E-2</v>
      </c>
      <c r="G1032" s="12"/>
    </row>
    <row r="1033" spans="1:7" ht="25.5" x14ac:dyDescent="0.25">
      <c r="A1033" s="7" t="s">
        <v>1971</v>
      </c>
      <c r="B1033" s="7" t="s">
        <v>1986</v>
      </c>
      <c r="C1033" s="7"/>
      <c r="D1033" s="12" t="s">
        <v>2008</v>
      </c>
      <c r="E1033" s="8" t="s">
        <v>82</v>
      </c>
      <c r="F1033" s="13">
        <v>2.7E-2</v>
      </c>
      <c r="G1033" s="12"/>
    </row>
    <row r="1034" spans="1:7" x14ac:dyDescent="0.25">
      <c r="A1034" s="7" t="s">
        <v>1971</v>
      </c>
      <c r="B1034" s="7" t="s">
        <v>1986</v>
      </c>
      <c r="C1034" s="7"/>
      <c r="D1034" s="12" t="s">
        <v>2009</v>
      </c>
      <c r="E1034" s="8" t="s">
        <v>82</v>
      </c>
      <c r="F1034" s="13">
        <v>2.1999999999999999E-2</v>
      </c>
      <c r="G1034" s="12"/>
    </row>
    <row r="1035" spans="1:7" x14ac:dyDescent="0.25">
      <c r="A1035" s="7" t="s">
        <v>1971</v>
      </c>
      <c r="B1035" s="7" t="s">
        <v>1986</v>
      </c>
      <c r="C1035" s="7"/>
      <c r="D1035" s="12" t="s">
        <v>2010</v>
      </c>
      <c r="E1035" s="8" t="s">
        <v>82</v>
      </c>
      <c r="F1035" s="13">
        <v>2.1000000000000001E-2</v>
      </c>
      <c r="G1035" s="12"/>
    </row>
    <row r="1036" spans="1:7" x14ac:dyDescent="0.25">
      <c r="A1036" s="7" t="s">
        <v>1971</v>
      </c>
      <c r="B1036" s="7" t="s">
        <v>1986</v>
      </c>
      <c r="C1036" s="7"/>
      <c r="D1036" s="12" t="s">
        <v>2011</v>
      </c>
      <c r="E1036" s="8" t="s">
        <v>82</v>
      </c>
      <c r="F1036" s="13">
        <v>2.1000000000000001E-2</v>
      </c>
      <c r="G1036" s="12"/>
    </row>
    <row r="1037" spans="1:7" x14ac:dyDescent="0.25">
      <c r="A1037" s="7" t="s">
        <v>1971</v>
      </c>
      <c r="B1037" s="7" t="s">
        <v>1986</v>
      </c>
      <c r="C1037" s="7"/>
      <c r="D1037" s="12" t="s">
        <v>2012</v>
      </c>
      <c r="E1037" s="8" t="s">
        <v>82</v>
      </c>
      <c r="F1037" s="13">
        <v>2.1999999999999999E-2</v>
      </c>
      <c r="G1037" s="12"/>
    </row>
    <row r="1038" spans="1:7" x14ac:dyDescent="0.25">
      <c r="A1038" s="7" t="s">
        <v>1971</v>
      </c>
      <c r="B1038" s="7" t="s">
        <v>1986</v>
      </c>
      <c r="C1038" s="7"/>
      <c r="D1038" s="12" t="s">
        <v>2013</v>
      </c>
      <c r="E1038" s="8" t="s">
        <v>82</v>
      </c>
      <c r="F1038" s="13">
        <v>2.5999999999999999E-2</v>
      </c>
      <c r="G1038" s="12"/>
    </row>
    <row r="1039" spans="1:7" x14ac:dyDescent="0.25">
      <c r="A1039" s="7" t="s">
        <v>1971</v>
      </c>
      <c r="B1039" s="7" t="s">
        <v>2014</v>
      </c>
      <c r="C1039" s="7"/>
      <c r="D1039" s="12" t="s">
        <v>2015</v>
      </c>
      <c r="E1039" s="8" t="s">
        <v>82</v>
      </c>
      <c r="F1039" s="13">
        <v>2.7E-2</v>
      </c>
      <c r="G1039" s="12"/>
    </row>
    <row r="1040" spans="1:7" x14ac:dyDescent="0.25">
      <c r="A1040" s="7" t="s">
        <v>1971</v>
      </c>
      <c r="B1040" s="7" t="s">
        <v>2014</v>
      </c>
      <c r="C1040" s="7"/>
      <c r="D1040" s="12" t="s">
        <v>2016</v>
      </c>
      <c r="E1040" s="8" t="s">
        <v>82</v>
      </c>
      <c r="F1040" s="13">
        <v>2.1000000000000001E-2</v>
      </c>
      <c r="G1040" s="12"/>
    </row>
    <row r="1041" spans="1:7" ht="25.5" x14ac:dyDescent="0.25">
      <c r="A1041" s="7" t="s">
        <v>1971</v>
      </c>
      <c r="B1041" s="7" t="s">
        <v>2014</v>
      </c>
      <c r="C1041" s="7"/>
      <c r="D1041" s="12" t="s">
        <v>2017</v>
      </c>
      <c r="E1041" s="8" t="s">
        <v>82</v>
      </c>
      <c r="F1041" s="13">
        <v>2.1000000000000001E-2</v>
      </c>
      <c r="G1041" s="12"/>
    </row>
    <row r="1042" spans="1:7" ht="25.5" x14ac:dyDescent="0.25">
      <c r="A1042" s="7" t="s">
        <v>1971</v>
      </c>
      <c r="B1042" s="7" t="s">
        <v>2014</v>
      </c>
      <c r="C1042" s="7"/>
      <c r="D1042" s="12" t="s">
        <v>2018</v>
      </c>
      <c r="E1042" s="8" t="s">
        <v>82</v>
      </c>
      <c r="F1042" s="13">
        <v>2.4E-2</v>
      </c>
      <c r="G1042" s="12"/>
    </row>
    <row r="1043" spans="1:7" x14ac:dyDescent="0.25">
      <c r="A1043" s="7" t="s">
        <v>1971</v>
      </c>
      <c r="B1043" s="7" t="s">
        <v>2014</v>
      </c>
      <c r="C1043" s="7"/>
      <c r="D1043" s="12" t="s">
        <v>2019</v>
      </c>
      <c r="E1043" s="8" t="s">
        <v>82</v>
      </c>
      <c r="F1043" s="13">
        <v>3.1E-2</v>
      </c>
      <c r="G1043" s="12"/>
    </row>
    <row r="1044" spans="1:7" x14ac:dyDescent="0.25">
      <c r="A1044" s="7" t="s">
        <v>1971</v>
      </c>
      <c r="B1044" s="7" t="s">
        <v>2014</v>
      </c>
      <c r="C1044" s="7"/>
      <c r="D1044" s="12" t="s">
        <v>2020</v>
      </c>
      <c r="E1044" s="8" t="s">
        <v>82</v>
      </c>
      <c r="F1044" s="13">
        <v>2.1000000000000001E-2</v>
      </c>
      <c r="G1044" s="12"/>
    </row>
    <row r="1045" spans="1:7" x14ac:dyDescent="0.25">
      <c r="A1045" s="7" t="s">
        <v>1971</v>
      </c>
      <c r="B1045" s="7" t="s">
        <v>2014</v>
      </c>
      <c r="C1045" s="7"/>
      <c r="D1045" s="12" t="s">
        <v>2021</v>
      </c>
      <c r="E1045" s="8" t="s">
        <v>82</v>
      </c>
      <c r="F1045" s="13">
        <v>2.9000000000000001E-2</v>
      </c>
      <c r="G1045" s="12"/>
    </row>
    <row r="1046" spans="1:7" x14ac:dyDescent="0.25">
      <c r="A1046" s="7" t="s">
        <v>1971</v>
      </c>
      <c r="B1046" s="7" t="s">
        <v>2014</v>
      </c>
      <c r="C1046" s="7"/>
      <c r="D1046" s="12" t="s">
        <v>2022</v>
      </c>
      <c r="E1046" s="8" t="s">
        <v>82</v>
      </c>
      <c r="F1046" s="13">
        <v>2.7E-2</v>
      </c>
      <c r="G1046" s="12"/>
    </row>
    <row r="1047" spans="1:7" x14ac:dyDescent="0.25">
      <c r="A1047" s="7" t="s">
        <v>1971</v>
      </c>
      <c r="B1047" s="7" t="s">
        <v>2014</v>
      </c>
      <c r="C1047" s="7"/>
      <c r="D1047" s="12" t="s">
        <v>2023</v>
      </c>
      <c r="E1047" s="8" t="s">
        <v>82</v>
      </c>
      <c r="F1047" s="13">
        <v>2.3E-2</v>
      </c>
      <c r="G1047" s="12"/>
    </row>
    <row r="1048" spans="1:7" x14ac:dyDescent="0.25">
      <c r="A1048" s="7" t="s">
        <v>1971</v>
      </c>
      <c r="B1048" s="7" t="s">
        <v>2014</v>
      </c>
      <c r="C1048" s="7"/>
      <c r="D1048" s="12" t="s">
        <v>2024</v>
      </c>
      <c r="E1048" s="8" t="s">
        <v>82</v>
      </c>
      <c r="F1048" s="13">
        <v>2.8000000000000001E-2</v>
      </c>
      <c r="G1048" s="12"/>
    </row>
    <row r="1049" spans="1:7" x14ac:dyDescent="0.25">
      <c r="A1049" s="7" t="s">
        <v>1971</v>
      </c>
      <c r="B1049" s="7" t="s">
        <v>2014</v>
      </c>
      <c r="C1049" s="7"/>
      <c r="D1049" s="12" t="s">
        <v>2025</v>
      </c>
      <c r="E1049" s="8" t="s">
        <v>82</v>
      </c>
      <c r="F1049" s="13">
        <v>2.8000000000000001E-2</v>
      </c>
      <c r="G1049" s="12"/>
    </row>
    <row r="1050" spans="1:7" x14ac:dyDescent="0.25">
      <c r="A1050" s="7" t="s">
        <v>1971</v>
      </c>
      <c r="B1050" s="7" t="s">
        <v>2014</v>
      </c>
      <c r="C1050" s="7"/>
      <c r="D1050" s="12" t="s">
        <v>2026</v>
      </c>
      <c r="E1050" s="8" t="s">
        <v>82</v>
      </c>
      <c r="F1050" s="13">
        <v>3.5999999999999997E-2</v>
      </c>
      <c r="G1050" s="12"/>
    </row>
    <row r="1051" spans="1:7" x14ac:dyDescent="0.25">
      <c r="A1051" s="7" t="s">
        <v>1971</v>
      </c>
      <c r="B1051" s="7" t="s">
        <v>2014</v>
      </c>
      <c r="C1051" s="7"/>
      <c r="D1051" s="12" t="s">
        <v>2027</v>
      </c>
      <c r="E1051" s="8" t="s">
        <v>82</v>
      </c>
      <c r="F1051" s="13">
        <v>3.4000000000000002E-2</v>
      </c>
      <c r="G1051" s="12"/>
    </row>
    <row r="1052" spans="1:7" x14ac:dyDescent="0.25">
      <c r="A1052" s="7" t="s">
        <v>1971</v>
      </c>
      <c r="B1052" s="7" t="s">
        <v>2014</v>
      </c>
      <c r="C1052" s="7"/>
      <c r="D1052" s="12" t="s">
        <v>2028</v>
      </c>
      <c r="E1052" s="8" t="s">
        <v>82</v>
      </c>
      <c r="F1052" s="13">
        <v>0.03</v>
      </c>
      <c r="G1052" s="12"/>
    </row>
    <row r="1053" spans="1:7" x14ac:dyDescent="0.25">
      <c r="A1053" s="7" t="s">
        <v>1971</v>
      </c>
      <c r="B1053" s="7" t="s">
        <v>2014</v>
      </c>
      <c r="C1053" s="7"/>
      <c r="D1053" s="12" t="s">
        <v>2029</v>
      </c>
      <c r="E1053" s="8" t="s">
        <v>82</v>
      </c>
      <c r="F1053" s="13">
        <v>2.7E-2</v>
      </c>
      <c r="G1053" s="12"/>
    </row>
    <row r="1054" spans="1:7" x14ac:dyDescent="0.25">
      <c r="A1054" s="7" t="s">
        <v>1971</v>
      </c>
      <c r="B1054" s="7" t="s">
        <v>2014</v>
      </c>
      <c r="C1054" s="7"/>
      <c r="D1054" s="12" t="s">
        <v>2030</v>
      </c>
      <c r="E1054" s="8" t="s">
        <v>82</v>
      </c>
      <c r="F1054" s="13">
        <v>3.3000000000000002E-2</v>
      </c>
      <c r="G1054" s="12"/>
    </row>
    <row r="1055" spans="1:7" x14ac:dyDescent="0.25">
      <c r="A1055" s="7" t="s">
        <v>1971</v>
      </c>
      <c r="B1055" s="7" t="s">
        <v>2014</v>
      </c>
      <c r="C1055" s="7"/>
      <c r="D1055" s="12" t="s">
        <v>2031</v>
      </c>
      <c r="E1055" s="8" t="s">
        <v>82</v>
      </c>
      <c r="F1055" s="13">
        <v>2.7E-2</v>
      </c>
      <c r="G1055" s="12"/>
    </row>
    <row r="1056" spans="1:7" x14ac:dyDescent="0.25">
      <c r="A1056" s="7" t="s">
        <v>1971</v>
      </c>
      <c r="B1056" s="7" t="s">
        <v>2014</v>
      </c>
      <c r="C1056" s="7"/>
      <c r="D1056" s="12" t="s">
        <v>2032</v>
      </c>
      <c r="E1056" s="8" t="s">
        <v>82</v>
      </c>
      <c r="F1056" s="13">
        <v>0.105</v>
      </c>
      <c r="G1056" s="12"/>
    </row>
    <row r="1057" spans="1:7" x14ac:dyDescent="0.25">
      <c r="A1057" s="7" t="s">
        <v>1971</v>
      </c>
      <c r="B1057" s="7" t="s">
        <v>2014</v>
      </c>
      <c r="C1057" s="7"/>
      <c r="D1057" s="12" t="s">
        <v>2033</v>
      </c>
      <c r="E1057" s="8" t="s">
        <v>82</v>
      </c>
      <c r="F1057" s="13">
        <v>1.7999999999999999E-2</v>
      </c>
      <c r="G1057" s="12"/>
    </row>
    <row r="1058" spans="1:7" x14ac:dyDescent="0.25">
      <c r="A1058" s="7" t="s">
        <v>1971</v>
      </c>
      <c r="B1058" s="7" t="s">
        <v>2014</v>
      </c>
      <c r="C1058" s="7"/>
      <c r="D1058" s="12" t="s">
        <v>2034</v>
      </c>
      <c r="E1058" s="8" t="s">
        <v>82</v>
      </c>
      <c r="F1058" s="13">
        <v>1.6E-2</v>
      </c>
      <c r="G1058" s="12"/>
    </row>
    <row r="1059" spans="1:7" x14ac:dyDescent="0.25">
      <c r="A1059" s="7" t="s">
        <v>1971</v>
      </c>
      <c r="B1059" s="7" t="s">
        <v>2014</v>
      </c>
      <c r="C1059" s="7"/>
      <c r="D1059" s="12" t="s">
        <v>2035</v>
      </c>
      <c r="E1059" s="8" t="s">
        <v>82</v>
      </c>
      <c r="F1059" s="13">
        <v>1.7999999999999999E-2</v>
      </c>
      <c r="G1059" s="12"/>
    </row>
    <row r="1060" spans="1:7" x14ac:dyDescent="0.25">
      <c r="A1060" s="7" t="s">
        <v>1971</v>
      </c>
      <c r="B1060" s="7" t="s">
        <v>2014</v>
      </c>
      <c r="C1060" s="7"/>
      <c r="D1060" s="12" t="s">
        <v>2036</v>
      </c>
      <c r="E1060" s="8" t="s">
        <v>82</v>
      </c>
      <c r="F1060" s="13">
        <v>1.6E-2</v>
      </c>
      <c r="G1060" s="12"/>
    </row>
    <row r="1061" spans="1:7" x14ac:dyDescent="0.25">
      <c r="A1061" s="7" t="s">
        <v>1971</v>
      </c>
      <c r="B1061" s="7" t="s">
        <v>2014</v>
      </c>
      <c r="C1061" s="7"/>
      <c r="D1061" s="12" t="s">
        <v>2037</v>
      </c>
      <c r="E1061" s="8" t="s">
        <v>82</v>
      </c>
      <c r="F1061" s="13">
        <v>1.7000000000000001E-2</v>
      </c>
      <c r="G1061" s="12"/>
    </row>
    <row r="1062" spans="1:7" x14ac:dyDescent="0.25">
      <c r="A1062" s="7" t="s">
        <v>1971</v>
      </c>
      <c r="B1062" s="7" t="s">
        <v>2014</v>
      </c>
      <c r="C1062" s="7"/>
      <c r="D1062" s="12" t="s">
        <v>2038</v>
      </c>
      <c r="E1062" s="8" t="s">
        <v>82</v>
      </c>
      <c r="F1062" s="13">
        <v>0.02</v>
      </c>
      <c r="G1062" s="12"/>
    </row>
    <row r="1063" spans="1:7" x14ac:dyDescent="0.25">
      <c r="A1063" s="7" t="s">
        <v>1971</v>
      </c>
      <c r="B1063" s="7" t="s">
        <v>2014</v>
      </c>
      <c r="C1063" s="7"/>
      <c r="D1063" s="12" t="s">
        <v>2039</v>
      </c>
      <c r="E1063" s="8" t="s">
        <v>82</v>
      </c>
      <c r="F1063" s="13">
        <v>1.7000000000000001E-2</v>
      </c>
      <c r="G1063" s="12"/>
    </row>
    <row r="1064" spans="1:7" x14ac:dyDescent="0.25">
      <c r="A1064" s="7" t="s">
        <v>1971</v>
      </c>
      <c r="B1064" s="7" t="s">
        <v>2014</v>
      </c>
      <c r="C1064" s="7"/>
      <c r="D1064" s="12" t="s">
        <v>2040</v>
      </c>
      <c r="E1064" s="8" t="s">
        <v>82</v>
      </c>
      <c r="F1064" s="13">
        <v>1.6E-2</v>
      </c>
      <c r="G1064" s="12"/>
    </row>
    <row r="1065" spans="1:7" x14ac:dyDescent="0.25">
      <c r="A1065" s="7" t="s">
        <v>1971</v>
      </c>
      <c r="B1065" s="7" t="s">
        <v>2014</v>
      </c>
      <c r="C1065" s="7"/>
      <c r="D1065" s="12" t="s">
        <v>2041</v>
      </c>
      <c r="E1065" s="8" t="s">
        <v>82</v>
      </c>
      <c r="F1065" s="13">
        <v>7.4999999999999997E-2</v>
      </c>
      <c r="G1065" s="12"/>
    </row>
    <row r="1066" spans="1:7" x14ac:dyDescent="0.25">
      <c r="A1066" s="7" t="s">
        <v>1971</v>
      </c>
      <c r="B1066" s="7" t="s">
        <v>1806</v>
      </c>
      <c r="C1066" s="7"/>
      <c r="D1066" s="12" t="s">
        <v>2042</v>
      </c>
      <c r="E1066" s="8" t="s">
        <v>82</v>
      </c>
      <c r="F1066" s="13">
        <v>1E-3</v>
      </c>
      <c r="G1066" s="12"/>
    </row>
    <row r="1067" spans="1:7" x14ac:dyDescent="0.25">
      <c r="A1067" s="7" t="s">
        <v>1971</v>
      </c>
      <c r="B1067" s="7" t="s">
        <v>1806</v>
      </c>
      <c r="C1067" s="7"/>
      <c r="D1067" s="12" t="s">
        <v>2043</v>
      </c>
      <c r="E1067" s="8" t="s">
        <v>82</v>
      </c>
      <c r="F1067" s="13">
        <v>1.0999999999999999E-2</v>
      </c>
      <c r="G1067" s="12"/>
    </row>
    <row r="1068" spans="1:7" x14ac:dyDescent="0.25">
      <c r="A1068" s="7" t="s">
        <v>1971</v>
      </c>
      <c r="B1068" s="7" t="s">
        <v>1806</v>
      </c>
      <c r="C1068" s="7"/>
      <c r="D1068" s="12" t="s">
        <v>2044</v>
      </c>
      <c r="E1068" s="8" t="s">
        <v>82</v>
      </c>
      <c r="F1068" s="13">
        <v>1E-3</v>
      </c>
      <c r="G1068" s="12"/>
    </row>
    <row r="1069" spans="1:7" x14ac:dyDescent="0.25">
      <c r="A1069" s="7" t="s">
        <v>1971</v>
      </c>
      <c r="B1069" s="7" t="s">
        <v>1806</v>
      </c>
      <c r="C1069" s="7"/>
      <c r="D1069" s="12" t="s">
        <v>2045</v>
      </c>
      <c r="E1069" s="8" t="s">
        <v>82</v>
      </c>
      <c r="F1069" s="13">
        <v>1E-3</v>
      </c>
      <c r="G1069" s="12"/>
    </row>
    <row r="1070" spans="1:7" x14ac:dyDescent="0.25">
      <c r="A1070" s="7" t="s">
        <v>1971</v>
      </c>
      <c r="B1070" s="7" t="s">
        <v>1806</v>
      </c>
      <c r="C1070" s="7"/>
      <c r="D1070" s="12" t="s">
        <v>2046</v>
      </c>
      <c r="E1070" s="8" t="s">
        <v>82</v>
      </c>
      <c r="F1070" s="13">
        <v>0.08</v>
      </c>
      <c r="G1070" s="12"/>
    </row>
    <row r="1071" spans="1:7" x14ac:dyDescent="0.25">
      <c r="A1071" s="7" t="s">
        <v>1971</v>
      </c>
      <c r="B1071" s="7" t="s">
        <v>1806</v>
      </c>
      <c r="C1071" s="7"/>
      <c r="D1071" s="12" t="s">
        <v>2047</v>
      </c>
      <c r="E1071" s="8" t="s">
        <v>82</v>
      </c>
      <c r="F1071" s="13">
        <v>3.4000000000000002E-2</v>
      </c>
      <c r="G1071" s="12"/>
    </row>
    <row r="1072" spans="1:7" x14ac:dyDescent="0.25">
      <c r="A1072" s="7" t="s">
        <v>1971</v>
      </c>
      <c r="B1072" s="7" t="s">
        <v>1806</v>
      </c>
      <c r="C1072" s="7"/>
      <c r="D1072" s="12" t="s">
        <v>2048</v>
      </c>
      <c r="E1072" s="8" t="s">
        <v>82</v>
      </c>
      <c r="F1072" s="13">
        <v>1.7000000000000001E-2</v>
      </c>
      <c r="G1072" s="12"/>
    </row>
    <row r="1073" spans="1:7" x14ac:dyDescent="0.25">
      <c r="A1073" s="7" t="s">
        <v>1971</v>
      </c>
      <c r="B1073" s="7" t="s">
        <v>2049</v>
      </c>
      <c r="C1073" s="7"/>
      <c r="D1073" s="12" t="s">
        <v>2050</v>
      </c>
      <c r="E1073" s="8" t="s">
        <v>82</v>
      </c>
      <c r="F1073" s="13">
        <v>1E-3</v>
      </c>
      <c r="G1073" s="12"/>
    </row>
    <row r="1074" spans="1:7" x14ac:dyDescent="0.25">
      <c r="A1074" s="7" t="s">
        <v>1971</v>
      </c>
      <c r="B1074" s="7" t="s">
        <v>2049</v>
      </c>
      <c r="C1074" s="7"/>
      <c r="D1074" s="12" t="s">
        <v>2051</v>
      </c>
      <c r="E1074" s="8" t="s">
        <v>82</v>
      </c>
      <c r="F1074" s="13">
        <v>1E-3</v>
      </c>
      <c r="G1074" s="12"/>
    </row>
    <row r="1075" spans="1:7" x14ac:dyDescent="0.25">
      <c r="A1075" s="7" t="s">
        <v>1971</v>
      </c>
      <c r="B1075" s="7" t="s">
        <v>2052</v>
      </c>
      <c r="C1075" s="7"/>
      <c r="D1075" s="12" t="s">
        <v>2053</v>
      </c>
      <c r="E1075" s="8" t="s">
        <v>82</v>
      </c>
      <c r="F1075" s="13">
        <v>1E-3</v>
      </c>
      <c r="G1075" s="12"/>
    </row>
    <row r="1076" spans="1:7" x14ac:dyDescent="0.25">
      <c r="A1076" s="7" t="s">
        <v>1971</v>
      </c>
      <c r="B1076" s="7" t="s">
        <v>2052</v>
      </c>
      <c r="C1076" s="7"/>
      <c r="D1076" s="12" t="s">
        <v>2054</v>
      </c>
      <c r="E1076" s="8" t="s">
        <v>82</v>
      </c>
      <c r="F1076" s="13">
        <v>1E-3</v>
      </c>
      <c r="G1076" s="12"/>
    </row>
    <row r="1077" spans="1:7" x14ac:dyDescent="0.25">
      <c r="A1077" s="7" t="s">
        <v>1971</v>
      </c>
      <c r="B1077" s="7" t="s">
        <v>2052</v>
      </c>
      <c r="C1077" s="7"/>
      <c r="D1077" s="12" t="s">
        <v>2055</v>
      </c>
      <c r="E1077" s="8" t="s">
        <v>82</v>
      </c>
      <c r="F1077" s="13">
        <v>1E-3</v>
      </c>
      <c r="G1077" s="12"/>
    </row>
    <row r="1078" spans="1:7" x14ac:dyDescent="0.25">
      <c r="A1078" s="7" t="s">
        <v>1971</v>
      </c>
      <c r="B1078" s="7" t="s">
        <v>2052</v>
      </c>
      <c r="C1078" s="7"/>
      <c r="D1078" s="12" t="s">
        <v>2056</v>
      </c>
      <c r="E1078" s="8" t="s">
        <v>82</v>
      </c>
      <c r="F1078" s="13">
        <v>1E-3</v>
      </c>
      <c r="G1078" s="12"/>
    </row>
    <row r="1079" spans="1:7" x14ac:dyDescent="0.25">
      <c r="A1079" s="7" t="s">
        <v>1971</v>
      </c>
      <c r="B1079" s="7" t="s">
        <v>2057</v>
      </c>
      <c r="C1079" s="7"/>
      <c r="D1079" s="12" t="s">
        <v>2058</v>
      </c>
      <c r="E1079" s="8" t="s">
        <v>82</v>
      </c>
      <c r="F1079" s="13">
        <v>1.4E-2</v>
      </c>
      <c r="G1079" s="12"/>
    </row>
    <row r="1080" spans="1:7" x14ac:dyDescent="0.25">
      <c r="A1080" s="7" t="s">
        <v>1971</v>
      </c>
      <c r="B1080" s="7" t="s">
        <v>2057</v>
      </c>
      <c r="C1080" s="7"/>
      <c r="D1080" s="12" t="s">
        <v>2059</v>
      </c>
      <c r="E1080" s="8" t="s">
        <v>82</v>
      </c>
      <c r="F1080" s="13">
        <v>5.0000000000000001E-3</v>
      </c>
      <c r="G1080" s="12"/>
    </row>
    <row r="1081" spans="1:7" x14ac:dyDescent="0.25">
      <c r="A1081" s="7" t="s">
        <v>1971</v>
      </c>
      <c r="B1081" s="7" t="s">
        <v>2057</v>
      </c>
      <c r="C1081" s="7"/>
      <c r="D1081" s="12" t="s">
        <v>2060</v>
      </c>
      <c r="E1081" s="8" t="s">
        <v>82</v>
      </c>
      <c r="F1081" s="13">
        <v>6.0000000000000001E-3</v>
      </c>
      <c r="G1081" s="12"/>
    </row>
    <row r="1082" spans="1:7" x14ac:dyDescent="0.25">
      <c r="A1082" s="7" t="s">
        <v>1971</v>
      </c>
      <c r="B1082" s="7" t="s">
        <v>2057</v>
      </c>
      <c r="C1082" s="7"/>
      <c r="D1082" s="12" t="s">
        <v>2061</v>
      </c>
      <c r="E1082" s="8" t="s">
        <v>82</v>
      </c>
      <c r="F1082" s="13">
        <v>6.0000000000000001E-3</v>
      </c>
      <c r="G1082" s="12"/>
    </row>
    <row r="1083" spans="1:7" x14ac:dyDescent="0.25">
      <c r="A1083" s="7" t="s">
        <v>1971</v>
      </c>
      <c r="B1083" s="7" t="s">
        <v>2057</v>
      </c>
      <c r="C1083" s="7"/>
      <c r="D1083" s="12" t="s">
        <v>2062</v>
      </c>
      <c r="E1083" s="8" t="s">
        <v>82</v>
      </c>
      <c r="F1083" s="13">
        <v>5.0000000000000001E-3</v>
      </c>
      <c r="G1083" s="12"/>
    </row>
    <row r="1084" spans="1:7" x14ac:dyDescent="0.25">
      <c r="A1084" s="7" t="s">
        <v>1971</v>
      </c>
      <c r="B1084" s="7" t="s">
        <v>2057</v>
      </c>
      <c r="C1084" s="7"/>
      <c r="D1084" s="12" t="s">
        <v>2063</v>
      </c>
      <c r="E1084" s="8" t="s">
        <v>82</v>
      </c>
      <c r="F1084" s="13">
        <v>5.0000000000000001E-3</v>
      </c>
      <c r="G1084" s="12"/>
    </row>
    <row r="1085" spans="1:7" x14ac:dyDescent="0.25">
      <c r="A1085" s="7" t="s">
        <v>1971</v>
      </c>
      <c r="B1085" s="7" t="s">
        <v>2057</v>
      </c>
      <c r="C1085" s="7"/>
      <c r="D1085" s="12" t="s">
        <v>2064</v>
      </c>
      <c r="E1085" s="8" t="s">
        <v>82</v>
      </c>
      <c r="F1085" s="13">
        <v>8.0000000000000002E-3</v>
      </c>
      <c r="G1085" s="12"/>
    </row>
    <row r="1086" spans="1:7" x14ac:dyDescent="0.25">
      <c r="A1086" s="7" t="s">
        <v>1971</v>
      </c>
      <c r="B1086" s="7" t="s">
        <v>2057</v>
      </c>
      <c r="C1086" s="7"/>
      <c r="D1086" s="12" t="s">
        <v>2065</v>
      </c>
      <c r="E1086" s="8" t="s">
        <v>82</v>
      </c>
      <c r="F1086" s="13">
        <v>6.0000000000000001E-3</v>
      </c>
      <c r="G1086" s="12"/>
    </row>
    <row r="1087" spans="1:7" x14ac:dyDescent="0.25">
      <c r="A1087" s="7" t="s">
        <v>1971</v>
      </c>
      <c r="B1087" s="7" t="s">
        <v>2057</v>
      </c>
      <c r="C1087" s="7"/>
      <c r="D1087" s="12" t="s">
        <v>2066</v>
      </c>
      <c r="E1087" s="8" t="s">
        <v>82</v>
      </c>
      <c r="F1087" s="13">
        <v>6.0000000000000001E-3</v>
      </c>
      <c r="G1087" s="12"/>
    </row>
    <row r="1088" spans="1:7" x14ac:dyDescent="0.25">
      <c r="A1088" s="7" t="s">
        <v>1971</v>
      </c>
      <c r="B1088" s="7" t="s">
        <v>2057</v>
      </c>
      <c r="C1088" s="7"/>
      <c r="D1088" s="12" t="s">
        <v>2067</v>
      </c>
      <c r="E1088" s="8" t="s">
        <v>82</v>
      </c>
      <c r="F1088" s="13">
        <v>7.0000000000000001E-3</v>
      </c>
      <c r="G1088" s="12"/>
    </row>
    <row r="1089" spans="1:7" x14ac:dyDescent="0.25">
      <c r="A1089" s="7" t="s">
        <v>1971</v>
      </c>
      <c r="B1089" s="7" t="s">
        <v>2057</v>
      </c>
      <c r="C1089" s="7"/>
      <c r="D1089" s="12" t="s">
        <v>2068</v>
      </c>
      <c r="E1089" s="8" t="s">
        <v>82</v>
      </c>
      <c r="F1089" s="13">
        <v>1E-3</v>
      </c>
      <c r="G1089" s="12"/>
    </row>
    <row r="1090" spans="1:7" x14ac:dyDescent="0.25">
      <c r="A1090" s="7" t="s">
        <v>1971</v>
      </c>
      <c r="B1090" s="7" t="s">
        <v>2069</v>
      </c>
      <c r="C1090" s="7"/>
      <c r="D1090" s="12" t="s">
        <v>2070</v>
      </c>
      <c r="E1090" s="8" t="s">
        <v>82</v>
      </c>
      <c r="F1090" s="13">
        <v>1E-3</v>
      </c>
      <c r="G1090" s="12"/>
    </row>
    <row r="1091" spans="1:7" x14ac:dyDescent="0.25">
      <c r="A1091" s="7" t="s">
        <v>1971</v>
      </c>
      <c r="B1091" s="7" t="s">
        <v>2069</v>
      </c>
      <c r="C1091" s="7"/>
      <c r="D1091" s="12" t="s">
        <v>2071</v>
      </c>
      <c r="E1091" s="8" t="s">
        <v>82</v>
      </c>
      <c r="F1091" s="13">
        <v>1E-3</v>
      </c>
      <c r="G1091" s="12"/>
    </row>
    <row r="1092" spans="1:7" x14ac:dyDescent="0.25">
      <c r="A1092" s="7" t="s">
        <v>1971</v>
      </c>
      <c r="B1092" s="7" t="s">
        <v>2069</v>
      </c>
      <c r="C1092" s="7"/>
      <c r="D1092" s="12" t="s">
        <v>2072</v>
      </c>
      <c r="E1092" s="8" t="s">
        <v>82</v>
      </c>
      <c r="F1092" s="13">
        <v>1E-3</v>
      </c>
      <c r="G1092" s="12"/>
    </row>
    <row r="1093" spans="1:7" x14ac:dyDescent="0.25">
      <c r="A1093" s="7" t="s">
        <v>1971</v>
      </c>
      <c r="B1093" s="7" t="s">
        <v>2069</v>
      </c>
      <c r="C1093" s="7"/>
      <c r="D1093" s="12" t="s">
        <v>2073</v>
      </c>
      <c r="E1093" s="8" t="s">
        <v>82</v>
      </c>
      <c r="F1093" s="13">
        <v>1E-3</v>
      </c>
      <c r="G1093" s="12"/>
    </row>
    <row r="1094" spans="1:7" x14ac:dyDescent="0.25">
      <c r="A1094" s="7" t="s">
        <v>1971</v>
      </c>
      <c r="B1094" s="7" t="s">
        <v>2069</v>
      </c>
      <c r="C1094" s="7"/>
      <c r="D1094" s="12" t="s">
        <v>2074</v>
      </c>
      <c r="E1094" s="8" t="s">
        <v>82</v>
      </c>
      <c r="F1094" s="13">
        <v>1E-3</v>
      </c>
      <c r="G1094" s="12"/>
    </row>
    <row r="1095" spans="1:7" x14ac:dyDescent="0.25">
      <c r="A1095" s="7" t="s">
        <v>1971</v>
      </c>
      <c r="B1095" s="7" t="s">
        <v>2069</v>
      </c>
      <c r="C1095" s="7"/>
      <c r="D1095" s="12" t="s">
        <v>2075</v>
      </c>
      <c r="E1095" s="8" t="s">
        <v>82</v>
      </c>
      <c r="F1095" s="13">
        <v>1E-3</v>
      </c>
      <c r="G1095" s="12"/>
    </row>
    <row r="1096" spans="1:7" x14ac:dyDescent="0.25">
      <c r="A1096" s="7" t="s">
        <v>1971</v>
      </c>
      <c r="B1096" s="7" t="s">
        <v>2069</v>
      </c>
      <c r="C1096" s="7"/>
      <c r="D1096" s="12" t="s">
        <v>2076</v>
      </c>
      <c r="E1096" s="8" t="s">
        <v>82</v>
      </c>
      <c r="F1096" s="13">
        <v>1E-3</v>
      </c>
      <c r="G1096" s="12"/>
    </row>
    <row r="1097" spans="1:7" x14ac:dyDescent="0.25">
      <c r="A1097" s="7" t="s">
        <v>1971</v>
      </c>
      <c r="B1097" s="7" t="s">
        <v>2069</v>
      </c>
      <c r="C1097" s="7"/>
      <c r="D1097" s="12" t="s">
        <v>2077</v>
      </c>
      <c r="E1097" s="8" t="s">
        <v>82</v>
      </c>
      <c r="F1097" s="13">
        <v>3.0000000000000001E-3</v>
      </c>
      <c r="G1097" s="12"/>
    </row>
    <row r="1098" spans="1:7" x14ac:dyDescent="0.25">
      <c r="A1098" s="7" t="s">
        <v>1971</v>
      </c>
      <c r="B1098" s="7" t="s">
        <v>2069</v>
      </c>
      <c r="C1098" s="7"/>
      <c r="D1098" s="12" t="s">
        <v>2078</v>
      </c>
      <c r="E1098" s="8" t="s">
        <v>82</v>
      </c>
      <c r="F1098" s="13">
        <v>1E-3</v>
      </c>
      <c r="G1098" s="12"/>
    </row>
    <row r="1099" spans="1:7" x14ac:dyDescent="0.25">
      <c r="A1099" s="7" t="s">
        <v>1971</v>
      </c>
      <c r="B1099" s="7" t="s">
        <v>2069</v>
      </c>
      <c r="C1099" s="7"/>
      <c r="D1099" s="12" t="s">
        <v>2079</v>
      </c>
      <c r="E1099" s="8" t="s">
        <v>82</v>
      </c>
      <c r="F1099" s="13">
        <v>1E-3</v>
      </c>
      <c r="G1099" s="12"/>
    </row>
    <row r="1100" spans="1:7" x14ac:dyDescent="0.25">
      <c r="A1100" s="7" t="s">
        <v>1971</v>
      </c>
      <c r="B1100" s="7" t="s">
        <v>2069</v>
      </c>
      <c r="C1100" s="7"/>
      <c r="D1100" s="12" t="s">
        <v>2080</v>
      </c>
      <c r="E1100" s="8" t="s">
        <v>82</v>
      </c>
      <c r="F1100" s="13">
        <v>1E-3</v>
      </c>
      <c r="G1100" s="12"/>
    </row>
    <row r="1101" spans="1:7" ht="25.5" x14ac:dyDescent="0.25">
      <c r="A1101" s="7" t="s">
        <v>1971</v>
      </c>
      <c r="B1101" s="7" t="s">
        <v>2069</v>
      </c>
      <c r="C1101" s="7"/>
      <c r="D1101" s="12" t="s">
        <v>2081</v>
      </c>
      <c r="E1101" s="8" t="s">
        <v>82</v>
      </c>
      <c r="F1101" s="13">
        <v>1E-3</v>
      </c>
      <c r="G1101" s="12"/>
    </row>
    <row r="1102" spans="1:7" x14ac:dyDescent="0.25">
      <c r="A1102" s="7" t="s">
        <v>1971</v>
      </c>
      <c r="B1102" s="7" t="s">
        <v>2069</v>
      </c>
      <c r="C1102" s="7"/>
      <c r="D1102" s="12" t="s">
        <v>2082</v>
      </c>
      <c r="E1102" s="8" t="s">
        <v>82</v>
      </c>
      <c r="F1102" s="13">
        <v>1E-3</v>
      </c>
      <c r="G1102" s="12"/>
    </row>
    <row r="1103" spans="1:7" x14ac:dyDescent="0.25">
      <c r="A1103" s="7" t="s">
        <v>1971</v>
      </c>
      <c r="B1103" s="7" t="s">
        <v>2069</v>
      </c>
      <c r="C1103" s="7"/>
      <c r="D1103" s="12" t="s">
        <v>2083</v>
      </c>
      <c r="E1103" s="8" t="s">
        <v>82</v>
      </c>
      <c r="F1103" s="13">
        <v>1E-3</v>
      </c>
      <c r="G1103" s="12"/>
    </row>
    <row r="1104" spans="1:7" x14ac:dyDescent="0.25">
      <c r="A1104" s="7" t="s">
        <v>1971</v>
      </c>
      <c r="B1104" s="7" t="s">
        <v>2069</v>
      </c>
      <c r="C1104" s="7"/>
      <c r="D1104" s="12" t="s">
        <v>2084</v>
      </c>
      <c r="E1104" s="8" t="s">
        <v>82</v>
      </c>
      <c r="F1104" s="13">
        <v>1E-3</v>
      </c>
      <c r="G1104" s="12"/>
    </row>
    <row r="1105" spans="1:7" x14ac:dyDescent="0.25">
      <c r="A1105" s="7" t="s">
        <v>1971</v>
      </c>
      <c r="B1105" s="7" t="s">
        <v>2085</v>
      </c>
      <c r="C1105" s="7"/>
      <c r="D1105" s="12" t="s">
        <v>2086</v>
      </c>
      <c r="E1105" s="8" t="s">
        <v>82</v>
      </c>
      <c r="F1105" s="13">
        <v>1E-3</v>
      </c>
      <c r="G1105" s="12"/>
    </row>
    <row r="1106" spans="1:7" x14ac:dyDescent="0.25">
      <c r="A1106" s="7" t="s">
        <v>1971</v>
      </c>
      <c r="B1106" s="7" t="s">
        <v>2085</v>
      </c>
      <c r="C1106" s="7"/>
      <c r="D1106" s="12" t="s">
        <v>2087</v>
      </c>
      <c r="E1106" s="8" t="s">
        <v>82</v>
      </c>
      <c r="F1106" s="13">
        <v>1E-3</v>
      </c>
      <c r="G1106" s="12"/>
    </row>
    <row r="1107" spans="1:7" x14ac:dyDescent="0.25">
      <c r="A1107" s="7" t="s">
        <v>1971</v>
      </c>
      <c r="B1107" s="7" t="s">
        <v>2085</v>
      </c>
      <c r="C1107" s="7"/>
      <c r="D1107" s="12" t="s">
        <v>2088</v>
      </c>
      <c r="E1107" s="8" t="s">
        <v>82</v>
      </c>
      <c r="F1107" s="13">
        <v>1E-3</v>
      </c>
      <c r="G1107" s="12"/>
    </row>
    <row r="1108" spans="1:7" x14ac:dyDescent="0.25">
      <c r="A1108" s="7" t="s">
        <v>1971</v>
      </c>
      <c r="B1108" s="7" t="s">
        <v>2085</v>
      </c>
      <c r="C1108" s="7"/>
      <c r="D1108" s="12" t="s">
        <v>2089</v>
      </c>
      <c r="E1108" s="8" t="s">
        <v>82</v>
      </c>
      <c r="F1108" s="13">
        <v>2E-3</v>
      </c>
      <c r="G1108" s="12"/>
    </row>
    <row r="1109" spans="1:7" x14ac:dyDescent="0.25">
      <c r="A1109" s="7" t="s">
        <v>1971</v>
      </c>
      <c r="B1109" s="7" t="s">
        <v>2085</v>
      </c>
      <c r="C1109" s="7"/>
      <c r="D1109" s="12" t="s">
        <v>2090</v>
      </c>
      <c r="E1109" s="8" t="s">
        <v>82</v>
      </c>
      <c r="F1109" s="13">
        <v>1E-3</v>
      </c>
      <c r="G1109" s="12"/>
    </row>
    <row r="1110" spans="1:7" x14ac:dyDescent="0.25">
      <c r="A1110" s="7" t="s">
        <v>1971</v>
      </c>
      <c r="B1110" s="7" t="s">
        <v>2085</v>
      </c>
      <c r="C1110" s="7"/>
      <c r="D1110" s="12" t="s">
        <v>2091</v>
      </c>
      <c r="E1110" s="8" t="s">
        <v>82</v>
      </c>
      <c r="F1110" s="13">
        <v>5.8999999999999997E-2</v>
      </c>
      <c r="G1110" s="12"/>
    </row>
    <row r="1111" spans="1:7" x14ac:dyDescent="0.25">
      <c r="A1111" s="7" t="s">
        <v>1971</v>
      </c>
      <c r="B1111" s="7" t="s">
        <v>2085</v>
      </c>
      <c r="C1111" s="7"/>
      <c r="D1111" s="12" t="s">
        <v>2092</v>
      </c>
      <c r="E1111" s="8" t="s">
        <v>82</v>
      </c>
      <c r="F1111" s="13">
        <v>0.06</v>
      </c>
      <c r="G1111" s="12"/>
    </row>
    <row r="1112" spans="1:7" x14ac:dyDescent="0.25">
      <c r="A1112" s="7" t="s">
        <v>1971</v>
      </c>
      <c r="B1112" s="7" t="s">
        <v>2093</v>
      </c>
      <c r="C1112" s="7"/>
      <c r="D1112" s="12" t="s">
        <v>2094</v>
      </c>
      <c r="E1112" s="8" t="s">
        <v>82</v>
      </c>
      <c r="F1112" s="13">
        <v>3.9E-2</v>
      </c>
      <c r="G1112" s="12"/>
    </row>
    <row r="1113" spans="1:7" x14ac:dyDescent="0.25">
      <c r="A1113" s="7" t="s">
        <v>1971</v>
      </c>
      <c r="B1113" s="7" t="s">
        <v>2093</v>
      </c>
      <c r="C1113" s="7"/>
      <c r="D1113" s="12" t="s">
        <v>2095</v>
      </c>
      <c r="E1113" s="8" t="s">
        <v>82</v>
      </c>
      <c r="F1113" s="13">
        <v>1.7999999999999999E-2</v>
      </c>
      <c r="G1113" s="12"/>
    </row>
    <row r="1114" spans="1:7" x14ac:dyDescent="0.25">
      <c r="A1114" s="7" t="s">
        <v>1971</v>
      </c>
      <c r="B1114" s="7" t="s">
        <v>2093</v>
      </c>
      <c r="C1114" s="7"/>
      <c r="D1114" s="12" t="s">
        <v>2096</v>
      </c>
      <c r="E1114" s="8" t="s">
        <v>82</v>
      </c>
      <c r="F1114" s="13">
        <v>2.4E-2</v>
      </c>
      <c r="G1114" s="12"/>
    </row>
    <row r="1115" spans="1:7" x14ac:dyDescent="0.25">
      <c r="A1115" s="7" t="s">
        <v>1971</v>
      </c>
      <c r="B1115" s="7" t="s">
        <v>2093</v>
      </c>
      <c r="C1115" s="7"/>
      <c r="D1115" s="12" t="s">
        <v>2097</v>
      </c>
      <c r="E1115" s="8" t="s">
        <v>82</v>
      </c>
      <c r="F1115" s="13">
        <v>1.7000000000000001E-2</v>
      </c>
      <c r="G1115" s="12"/>
    </row>
    <row r="1116" spans="1:7" x14ac:dyDescent="0.25">
      <c r="A1116" s="7" t="s">
        <v>1971</v>
      </c>
      <c r="B1116" s="7" t="s">
        <v>2093</v>
      </c>
      <c r="C1116" s="7"/>
      <c r="D1116" s="12" t="s">
        <v>2098</v>
      </c>
      <c r="E1116" s="8" t="s">
        <v>82</v>
      </c>
      <c r="F1116" s="13">
        <v>0.02</v>
      </c>
      <c r="G1116" s="12"/>
    </row>
    <row r="1117" spans="1:7" x14ac:dyDescent="0.25">
      <c r="A1117" s="7" t="s">
        <v>1971</v>
      </c>
      <c r="B1117" s="7" t="s">
        <v>2093</v>
      </c>
      <c r="C1117" s="7"/>
      <c r="D1117" s="12" t="s">
        <v>2099</v>
      </c>
      <c r="E1117" s="8" t="s">
        <v>82</v>
      </c>
      <c r="F1117" s="13">
        <v>4.2999999999999997E-2</v>
      </c>
      <c r="G1117" s="12"/>
    </row>
    <row r="1118" spans="1:7" x14ac:dyDescent="0.25">
      <c r="A1118" s="7" t="s">
        <v>1971</v>
      </c>
      <c r="B1118" s="7" t="s">
        <v>2093</v>
      </c>
      <c r="C1118" s="7"/>
      <c r="D1118" s="12" t="s">
        <v>2100</v>
      </c>
      <c r="E1118" s="8" t="s">
        <v>82</v>
      </c>
      <c r="F1118" s="13">
        <v>1.9E-2</v>
      </c>
      <c r="G1118" s="12"/>
    </row>
    <row r="1119" spans="1:7" x14ac:dyDescent="0.25">
      <c r="A1119" s="7" t="s">
        <v>1971</v>
      </c>
      <c r="B1119" s="7" t="s">
        <v>2093</v>
      </c>
      <c r="C1119" s="7"/>
      <c r="D1119" s="12" t="s">
        <v>2101</v>
      </c>
      <c r="E1119" s="8" t="s">
        <v>82</v>
      </c>
      <c r="F1119" s="13">
        <v>1.6E-2</v>
      </c>
      <c r="G1119" s="12"/>
    </row>
    <row r="1120" spans="1:7" x14ac:dyDescent="0.25">
      <c r="A1120" s="7" t="s">
        <v>1971</v>
      </c>
      <c r="B1120" s="7" t="s">
        <v>2093</v>
      </c>
      <c r="C1120" s="7"/>
      <c r="D1120" s="12" t="s">
        <v>2102</v>
      </c>
      <c r="E1120" s="8" t="s">
        <v>82</v>
      </c>
      <c r="F1120" s="13">
        <v>2.1000000000000001E-2</v>
      </c>
      <c r="G1120" s="12"/>
    </row>
    <row r="1121" spans="1:7" x14ac:dyDescent="0.25">
      <c r="A1121" s="7" t="s">
        <v>1971</v>
      </c>
      <c r="B1121" s="7" t="s">
        <v>2093</v>
      </c>
      <c r="C1121" s="7"/>
      <c r="D1121" s="12" t="s">
        <v>2103</v>
      </c>
      <c r="E1121" s="8" t="s">
        <v>82</v>
      </c>
      <c r="F1121" s="13">
        <v>0.02</v>
      </c>
      <c r="G1121" s="12"/>
    </row>
    <row r="1122" spans="1:7" x14ac:dyDescent="0.25">
      <c r="A1122" s="7" t="s">
        <v>1971</v>
      </c>
      <c r="B1122" s="7" t="s">
        <v>2093</v>
      </c>
      <c r="C1122" s="7"/>
      <c r="D1122" s="12" t="s">
        <v>2104</v>
      </c>
      <c r="E1122" s="8" t="s">
        <v>82</v>
      </c>
      <c r="F1122" s="13">
        <v>1.9E-2</v>
      </c>
      <c r="G1122" s="12"/>
    </row>
    <row r="1123" spans="1:7" x14ac:dyDescent="0.25">
      <c r="A1123" s="7" t="s">
        <v>1971</v>
      </c>
      <c r="B1123" s="7" t="s">
        <v>2093</v>
      </c>
      <c r="C1123" s="7"/>
      <c r="D1123" s="12" t="s">
        <v>2105</v>
      </c>
      <c r="E1123" s="8" t="s">
        <v>82</v>
      </c>
      <c r="F1123" s="13">
        <v>3.5999999999999997E-2</v>
      </c>
      <c r="G1123" s="12"/>
    </row>
    <row r="1124" spans="1:7" x14ac:dyDescent="0.25">
      <c r="A1124" s="7" t="s">
        <v>1971</v>
      </c>
      <c r="B1124" s="7" t="s">
        <v>2093</v>
      </c>
      <c r="C1124" s="7"/>
      <c r="D1124" s="12" t="s">
        <v>2106</v>
      </c>
      <c r="E1124" s="8" t="s">
        <v>82</v>
      </c>
      <c r="F1124" s="13">
        <v>3.5000000000000003E-2</v>
      </c>
      <c r="G1124" s="12"/>
    </row>
    <row r="1125" spans="1:7" x14ac:dyDescent="0.25">
      <c r="A1125" s="7" t="s">
        <v>1971</v>
      </c>
      <c r="B1125" s="7" t="s">
        <v>2093</v>
      </c>
      <c r="C1125" s="7"/>
      <c r="D1125" s="12" t="s">
        <v>2107</v>
      </c>
      <c r="E1125" s="8" t="s">
        <v>82</v>
      </c>
      <c r="F1125" s="13">
        <v>0.02</v>
      </c>
      <c r="G1125" s="12"/>
    </row>
    <row r="1126" spans="1:7" x14ac:dyDescent="0.25">
      <c r="A1126" s="7" t="s">
        <v>1971</v>
      </c>
      <c r="B1126" s="7" t="s">
        <v>2093</v>
      </c>
      <c r="C1126" s="7"/>
      <c r="D1126" s="12" t="s">
        <v>2108</v>
      </c>
      <c r="E1126" s="8" t="s">
        <v>82</v>
      </c>
      <c r="F1126" s="13">
        <v>1.9E-2</v>
      </c>
      <c r="G1126" s="12"/>
    </row>
    <row r="1127" spans="1:7" x14ac:dyDescent="0.25">
      <c r="A1127" s="7" t="s">
        <v>1971</v>
      </c>
      <c r="B1127" s="7" t="s">
        <v>2093</v>
      </c>
      <c r="C1127" s="7"/>
      <c r="D1127" s="12" t="s">
        <v>2109</v>
      </c>
      <c r="E1127" s="8" t="s">
        <v>82</v>
      </c>
      <c r="F1127" s="13">
        <v>2.5000000000000001E-2</v>
      </c>
      <c r="G1127" s="12"/>
    </row>
    <row r="1128" spans="1:7" x14ac:dyDescent="0.25">
      <c r="A1128" s="7" t="s">
        <v>1971</v>
      </c>
      <c r="B1128" s="7" t="s">
        <v>2093</v>
      </c>
      <c r="C1128" s="7"/>
      <c r="D1128" s="12" t="s">
        <v>2110</v>
      </c>
      <c r="E1128" s="8" t="s">
        <v>82</v>
      </c>
      <c r="F1128" s="13">
        <v>2.1000000000000001E-2</v>
      </c>
      <c r="G1128" s="12"/>
    </row>
    <row r="1129" spans="1:7" x14ac:dyDescent="0.25">
      <c r="A1129" s="7" t="s">
        <v>1971</v>
      </c>
      <c r="B1129" s="7" t="s">
        <v>2093</v>
      </c>
      <c r="C1129" s="7"/>
      <c r="D1129" s="12" t="s">
        <v>2111</v>
      </c>
      <c r="E1129" s="8" t="s">
        <v>82</v>
      </c>
      <c r="F1129" s="13">
        <v>2.1999999999999999E-2</v>
      </c>
      <c r="G1129" s="12"/>
    </row>
    <row r="1130" spans="1:7" x14ac:dyDescent="0.25">
      <c r="A1130" s="7" t="s">
        <v>1971</v>
      </c>
      <c r="B1130" s="7" t="s">
        <v>2093</v>
      </c>
      <c r="C1130" s="7"/>
      <c r="D1130" s="12" t="s">
        <v>2112</v>
      </c>
      <c r="E1130" s="8" t="s">
        <v>82</v>
      </c>
      <c r="F1130" s="13">
        <v>0.02</v>
      </c>
      <c r="G1130" s="12"/>
    </row>
    <row r="1131" spans="1:7" x14ac:dyDescent="0.25">
      <c r="A1131" s="7" t="s">
        <v>1971</v>
      </c>
      <c r="B1131" s="7" t="s">
        <v>2093</v>
      </c>
      <c r="C1131" s="7"/>
      <c r="D1131" s="12" t="s">
        <v>2113</v>
      </c>
      <c r="E1131" s="8" t="s">
        <v>82</v>
      </c>
      <c r="F1131" s="13">
        <v>1.9E-2</v>
      </c>
      <c r="G1131" s="12"/>
    </row>
    <row r="1132" spans="1:7" x14ac:dyDescent="0.25">
      <c r="A1132" s="7" t="s">
        <v>1971</v>
      </c>
      <c r="B1132" s="7" t="s">
        <v>2093</v>
      </c>
      <c r="C1132" s="7"/>
      <c r="D1132" s="12" t="s">
        <v>2114</v>
      </c>
      <c r="E1132" s="8" t="s">
        <v>82</v>
      </c>
      <c r="F1132" s="13">
        <v>2.1999999999999999E-2</v>
      </c>
      <c r="G1132" s="12"/>
    </row>
    <row r="1133" spans="1:7" x14ac:dyDescent="0.25">
      <c r="A1133" s="7" t="s">
        <v>1971</v>
      </c>
      <c r="B1133" s="7" t="s">
        <v>2093</v>
      </c>
      <c r="C1133" s="7"/>
      <c r="D1133" s="12" t="s">
        <v>2115</v>
      </c>
      <c r="E1133" s="8" t="s">
        <v>82</v>
      </c>
      <c r="F1133" s="13">
        <v>2.1999999999999999E-2</v>
      </c>
      <c r="G1133" s="12"/>
    </row>
    <row r="1134" spans="1:7" x14ac:dyDescent="0.25">
      <c r="A1134" s="7" t="s">
        <v>1971</v>
      </c>
      <c r="B1134" s="7" t="s">
        <v>2093</v>
      </c>
      <c r="C1134" s="7"/>
      <c r="D1134" s="12" t="s">
        <v>2116</v>
      </c>
      <c r="E1134" s="8" t="s">
        <v>82</v>
      </c>
      <c r="F1134" s="13">
        <v>2.1999999999999999E-2</v>
      </c>
      <c r="G1134" s="12"/>
    </row>
    <row r="1135" spans="1:7" ht="25.5" x14ac:dyDescent="0.25">
      <c r="A1135" s="7" t="s">
        <v>1971</v>
      </c>
      <c r="B1135" s="7" t="s">
        <v>2093</v>
      </c>
      <c r="C1135" s="7"/>
      <c r="D1135" s="12" t="s">
        <v>2117</v>
      </c>
      <c r="E1135" s="8" t="s">
        <v>82</v>
      </c>
      <c r="F1135" s="13">
        <v>0.02</v>
      </c>
      <c r="G1135" s="12"/>
    </row>
    <row r="1136" spans="1:7" ht="229.5" x14ac:dyDescent="0.25">
      <c r="A1136" s="7" t="s">
        <v>1971</v>
      </c>
      <c r="B1136" s="7" t="s">
        <v>2093</v>
      </c>
      <c r="C1136" s="7"/>
      <c r="D1136" s="12" t="s">
        <v>2118</v>
      </c>
      <c r="E1136" s="8" t="s">
        <v>82</v>
      </c>
      <c r="F1136" s="13">
        <v>0.02</v>
      </c>
      <c r="G1136" s="12"/>
    </row>
    <row r="1137" spans="1:7" x14ac:dyDescent="0.25">
      <c r="A1137" s="7" t="s">
        <v>1971</v>
      </c>
      <c r="B1137" s="7" t="s">
        <v>2093</v>
      </c>
      <c r="C1137" s="7"/>
      <c r="D1137" s="12" t="s">
        <v>2119</v>
      </c>
      <c r="E1137" s="8" t="s">
        <v>82</v>
      </c>
      <c r="F1137" s="13">
        <v>2.1000000000000001E-2</v>
      </c>
      <c r="G1137" s="12"/>
    </row>
    <row r="1138" spans="1:7" x14ac:dyDescent="0.25">
      <c r="A1138" s="7" t="s">
        <v>1971</v>
      </c>
      <c r="B1138" s="7" t="s">
        <v>2093</v>
      </c>
      <c r="C1138" s="7"/>
      <c r="D1138" s="12" t="s">
        <v>2120</v>
      </c>
      <c r="E1138" s="8" t="s">
        <v>82</v>
      </c>
      <c r="F1138" s="13">
        <v>0.02</v>
      </c>
      <c r="G1138" s="12"/>
    </row>
    <row r="1139" spans="1:7" x14ac:dyDescent="0.25">
      <c r="A1139" s="7" t="s">
        <v>1971</v>
      </c>
      <c r="B1139" s="7" t="s">
        <v>2093</v>
      </c>
      <c r="C1139" s="7"/>
      <c r="D1139" s="12" t="s">
        <v>2121</v>
      </c>
      <c r="E1139" s="8" t="s">
        <v>82</v>
      </c>
      <c r="F1139" s="13">
        <v>1.7999999999999999E-2</v>
      </c>
      <c r="G1139" s="12"/>
    </row>
    <row r="1140" spans="1:7" x14ac:dyDescent="0.25">
      <c r="A1140" s="7" t="s">
        <v>1971</v>
      </c>
      <c r="B1140" s="7" t="s">
        <v>2093</v>
      </c>
      <c r="C1140" s="7"/>
      <c r="D1140" s="12" t="s">
        <v>2122</v>
      </c>
      <c r="E1140" s="8" t="s">
        <v>82</v>
      </c>
      <c r="F1140" s="13">
        <v>1.9E-2</v>
      </c>
      <c r="G1140" s="12"/>
    </row>
    <row r="1141" spans="1:7" x14ac:dyDescent="0.25">
      <c r="A1141" s="7" t="s">
        <v>1971</v>
      </c>
      <c r="B1141" s="7" t="s">
        <v>2093</v>
      </c>
      <c r="C1141" s="7"/>
      <c r="D1141" s="12" t="s">
        <v>2123</v>
      </c>
      <c r="E1141" s="8" t="s">
        <v>82</v>
      </c>
      <c r="F1141" s="13">
        <v>2.5999999999999999E-2</v>
      </c>
      <c r="G1141" s="12"/>
    </row>
    <row r="1142" spans="1:7" x14ac:dyDescent="0.25">
      <c r="A1142" s="7" t="s">
        <v>1971</v>
      </c>
      <c r="B1142" s="7" t="s">
        <v>2093</v>
      </c>
      <c r="C1142" s="7"/>
      <c r="D1142" s="12" t="s">
        <v>2124</v>
      </c>
      <c r="E1142" s="8" t="s">
        <v>82</v>
      </c>
      <c r="F1142" s="13">
        <v>2.1000000000000001E-2</v>
      </c>
      <c r="G1142" s="12"/>
    </row>
    <row r="1143" spans="1:7" x14ac:dyDescent="0.25">
      <c r="A1143" s="7" t="s">
        <v>1971</v>
      </c>
      <c r="B1143" s="7" t="s">
        <v>2093</v>
      </c>
      <c r="C1143" s="7"/>
      <c r="D1143" s="12" t="s">
        <v>2125</v>
      </c>
      <c r="E1143" s="8" t="s">
        <v>82</v>
      </c>
      <c r="F1143" s="13">
        <v>3.7999999999999999E-2</v>
      </c>
      <c r="G1143" s="12"/>
    </row>
    <row r="1144" spans="1:7" x14ac:dyDescent="0.25">
      <c r="A1144" s="7" t="s">
        <v>1971</v>
      </c>
      <c r="B1144" s="7" t="s">
        <v>2093</v>
      </c>
      <c r="C1144" s="7"/>
      <c r="D1144" s="12" t="s">
        <v>2126</v>
      </c>
      <c r="E1144" s="8" t="s">
        <v>82</v>
      </c>
      <c r="F1144" s="13">
        <v>0.02</v>
      </c>
      <c r="G1144" s="12"/>
    </row>
    <row r="1145" spans="1:7" x14ac:dyDescent="0.25">
      <c r="A1145" s="7" t="s">
        <v>1971</v>
      </c>
      <c r="B1145" s="7" t="s">
        <v>2093</v>
      </c>
      <c r="C1145" s="7"/>
      <c r="D1145" s="12" t="s">
        <v>2127</v>
      </c>
      <c r="E1145" s="8" t="s">
        <v>82</v>
      </c>
      <c r="F1145" s="13">
        <v>1.6E-2</v>
      </c>
      <c r="G1145" s="12"/>
    </row>
    <row r="1146" spans="1:7" x14ac:dyDescent="0.25">
      <c r="A1146" s="7" t="s">
        <v>1971</v>
      </c>
      <c r="B1146" s="7" t="s">
        <v>2093</v>
      </c>
      <c r="C1146" s="7"/>
      <c r="D1146" s="12" t="s">
        <v>2128</v>
      </c>
      <c r="E1146" s="8" t="s">
        <v>82</v>
      </c>
      <c r="F1146" s="13">
        <v>1.7000000000000001E-2</v>
      </c>
      <c r="G1146" s="12"/>
    </row>
    <row r="1147" spans="1:7" x14ac:dyDescent="0.25">
      <c r="A1147" s="7" t="s">
        <v>1971</v>
      </c>
      <c r="B1147" s="7" t="s">
        <v>2093</v>
      </c>
      <c r="C1147" s="7"/>
      <c r="D1147" s="12" t="s">
        <v>2129</v>
      </c>
      <c r="E1147" s="8" t="s">
        <v>82</v>
      </c>
      <c r="F1147" s="13">
        <v>3.4000000000000002E-2</v>
      </c>
      <c r="G1147" s="12"/>
    </row>
    <row r="1148" spans="1:7" x14ac:dyDescent="0.25">
      <c r="A1148" s="7" t="s">
        <v>1971</v>
      </c>
      <c r="B1148" s="7" t="s">
        <v>2093</v>
      </c>
      <c r="C1148" s="7"/>
      <c r="D1148" s="12" t="s">
        <v>2130</v>
      </c>
      <c r="E1148" s="8" t="s">
        <v>82</v>
      </c>
      <c r="F1148" s="13">
        <v>1.7000000000000001E-2</v>
      </c>
      <c r="G1148" s="12"/>
    </row>
    <row r="1149" spans="1:7" x14ac:dyDescent="0.25">
      <c r="A1149" s="7" t="s">
        <v>1971</v>
      </c>
      <c r="B1149" s="7" t="s">
        <v>2093</v>
      </c>
      <c r="C1149" s="7"/>
      <c r="D1149" s="12" t="s">
        <v>2131</v>
      </c>
      <c r="E1149" s="8" t="s">
        <v>82</v>
      </c>
      <c r="F1149" s="13">
        <v>1.7000000000000001E-2</v>
      </c>
      <c r="G1149" s="12"/>
    </row>
    <row r="1150" spans="1:7" x14ac:dyDescent="0.25">
      <c r="A1150" s="7" t="s">
        <v>1971</v>
      </c>
      <c r="B1150" s="7" t="s">
        <v>2093</v>
      </c>
      <c r="C1150" s="7"/>
      <c r="D1150" s="12" t="s">
        <v>2132</v>
      </c>
      <c r="E1150" s="8" t="s">
        <v>82</v>
      </c>
      <c r="F1150" s="13">
        <v>2.3E-2</v>
      </c>
      <c r="G1150" s="12"/>
    </row>
    <row r="1151" spans="1:7" x14ac:dyDescent="0.25">
      <c r="A1151" s="7" t="s">
        <v>1971</v>
      </c>
      <c r="B1151" s="7" t="s">
        <v>2133</v>
      </c>
      <c r="C1151" s="7"/>
      <c r="D1151" s="12" t="s">
        <v>2134</v>
      </c>
      <c r="E1151" s="8" t="s">
        <v>82</v>
      </c>
      <c r="F1151" s="13">
        <v>1E-3</v>
      </c>
      <c r="G1151" s="12"/>
    </row>
    <row r="1152" spans="1:7" x14ac:dyDescent="0.25">
      <c r="A1152" s="7" t="s">
        <v>1971</v>
      </c>
      <c r="B1152" s="7" t="s">
        <v>2133</v>
      </c>
      <c r="C1152" s="7"/>
      <c r="D1152" s="12" t="s">
        <v>2135</v>
      </c>
      <c r="E1152" s="8" t="s">
        <v>82</v>
      </c>
      <c r="F1152" s="13">
        <v>2.5999999999999999E-2</v>
      </c>
      <c r="G1152" s="12"/>
    </row>
    <row r="1153" spans="1:7" x14ac:dyDescent="0.25">
      <c r="A1153" s="7" t="s">
        <v>1971</v>
      </c>
      <c r="B1153" s="7" t="s">
        <v>2133</v>
      </c>
      <c r="C1153" s="7"/>
      <c r="D1153" s="12" t="s">
        <v>2136</v>
      </c>
      <c r="E1153" s="8" t="s">
        <v>82</v>
      </c>
      <c r="F1153" s="13">
        <v>0.02</v>
      </c>
      <c r="G1153" s="12"/>
    </row>
    <row r="1154" spans="1:7" x14ac:dyDescent="0.25">
      <c r="A1154" s="7" t="s">
        <v>1971</v>
      </c>
      <c r="B1154" s="7" t="s">
        <v>2133</v>
      </c>
      <c r="C1154" s="7"/>
      <c r="D1154" s="12" t="s">
        <v>2137</v>
      </c>
      <c r="E1154" s="8" t="s">
        <v>82</v>
      </c>
      <c r="F1154" s="13">
        <v>5.1999999999999998E-2</v>
      </c>
      <c r="G1154" s="12"/>
    </row>
    <row r="1155" spans="1:7" x14ac:dyDescent="0.25">
      <c r="A1155" s="7" t="s">
        <v>1971</v>
      </c>
      <c r="B1155" s="7" t="s">
        <v>2133</v>
      </c>
      <c r="C1155" s="7"/>
      <c r="D1155" s="12" t="s">
        <v>2138</v>
      </c>
      <c r="E1155" s="8" t="s">
        <v>82</v>
      </c>
      <c r="F1155" s="13">
        <v>4.1000000000000002E-2</v>
      </c>
      <c r="G1155" s="12"/>
    </row>
    <row r="1156" spans="1:7" x14ac:dyDescent="0.25">
      <c r="A1156" s="7" t="s">
        <v>1971</v>
      </c>
      <c r="B1156" s="7" t="s">
        <v>2133</v>
      </c>
      <c r="C1156" s="7"/>
      <c r="D1156" s="12" t="s">
        <v>2139</v>
      </c>
      <c r="E1156" s="8" t="s">
        <v>82</v>
      </c>
      <c r="F1156" s="13">
        <v>4.3999999999999997E-2</v>
      </c>
      <c r="G1156" s="12"/>
    </row>
    <row r="1157" spans="1:7" x14ac:dyDescent="0.25">
      <c r="A1157" s="7" t="s">
        <v>1971</v>
      </c>
      <c r="B1157" s="7" t="s">
        <v>2133</v>
      </c>
      <c r="C1157" s="7"/>
      <c r="D1157" s="12" t="s">
        <v>2140</v>
      </c>
      <c r="E1157" s="8" t="s">
        <v>82</v>
      </c>
      <c r="F1157" s="13">
        <v>4.7E-2</v>
      </c>
      <c r="G1157" s="12"/>
    </row>
    <row r="1158" spans="1:7" x14ac:dyDescent="0.25">
      <c r="A1158" s="7" t="s">
        <v>1971</v>
      </c>
      <c r="B1158" s="7" t="s">
        <v>2133</v>
      </c>
      <c r="C1158" s="7"/>
      <c r="D1158" s="12" t="s">
        <v>2141</v>
      </c>
      <c r="E1158" s="8" t="s">
        <v>82</v>
      </c>
      <c r="F1158" s="13">
        <v>4.5999999999999999E-2</v>
      </c>
      <c r="G1158" s="12"/>
    </row>
    <row r="1159" spans="1:7" x14ac:dyDescent="0.25">
      <c r="A1159" s="7" t="s">
        <v>1971</v>
      </c>
      <c r="B1159" s="7" t="s">
        <v>2133</v>
      </c>
      <c r="C1159" s="7"/>
      <c r="D1159" s="12" t="s">
        <v>2142</v>
      </c>
      <c r="E1159" s="8" t="s">
        <v>82</v>
      </c>
      <c r="F1159" s="13">
        <v>3.7999999999999999E-2</v>
      </c>
      <c r="G1159" s="12"/>
    </row>
    <row r="1160" spans="1:7" ht="25.5" x14ac:dyDescent="0.25">
      <c r="A1160" s="7" t="s">
        <v>1971</v>
      </c>
      <c r="B1160" s="7" t="s">
        <v>2133</v>
      </c>
      <c r="C1160" s="7"/>
      <c r="D1160" s="12" t="s">
        <v>2143</v>
      </c>
      <c r="E1160" s="8" t="s">
        <v>82</v>
      </c>
      <c r="F1160" s="13">
        <v>5.8999999999999997E-2</v>
      </c>
      <c r="G1160" s="12"/>
    </row>
    <row r="1161" spans="1:7" x14ac:dyDescent="0.25">
      <c r="A1161" s="7" t="s">
        <v>1971</v>
      </c>
      <c r="B1161" s="7" t="s">
        <v>2133</v>
      </c>
      <c r="C1161" s="7"/>
      <c r="D1161" s="12" t="s">
        <v>2144</v>
      </c>
      <c r="E1161" s="8" t="s">
        <v>82</v>
      </c>
      <c r="F1161" s="13">
        <v>4.7E-2</v>
      </c>
      <c r="G1161" s="12"/>
    </row>
    <row r="1162" spans="1:7" x14ac:dyDescent="0.25">
      <c r="A1162" s="7" t="s">
        <v>1971</v>
      </c>
      <c r="B1162" s="7" t="s">
        <v>2133</v>
      </c>
      <c r="C1162" s="7"/>
      <c r="D1162" s="12" t="s">
        <v>2145</v>
      </c>
      <c r="E1162" s="8" t="s">
        <v>82</v>
      </c>
      <c r="F1162" s="13">
        <v>6.4000000000000001E-2</v>
      </c>
      <c r="G1162" s="12"/>
    </row>
    <row r="1163" spans="1:7" x14ac:dyDescent="0.25">
      <c r="A1163" s="7" t="s">
        <v>1971</v>
      </c>
      <c r="B1163" s="7" t="s">
        <v>2133</v>
      </c>
      <c r="C1163" s="7"/>
      <c r="D1163" s="12" t="s">
        <v>2146</v>
      </c>
      <c r="E1163" s="8" t="s">
        <v>82</v>
      </c>
      <c r="F1163" s="13">
        <v>6.6000000000000003E-2</v>
      </c>
      <c r="G1163" s="12"/>
    </row>
    <row r="1164" spans="1:7" x14ac:dyDescent="0.25">
      <c r="A1164" s="7" t="s">
        <v>1971</v>
      </c>
      <c r="B1164" s="7" t="s">
        <v>2133</v>
      </c>
      <c r="C1164" s="7"/>
      <c r="D1164" s="12" t="s">
        <v>2147</v>
      </c>
      <c r="E1164" s="8" t="s">
        <v>82</v>
      </c>
      <c r="F1164" s="13">
        <v>5.2999999999999999E-2</v>
      </c>
      <c r="G1164" s="12"/>
    </row>
    <row r="1165" spans="1:7" x14ac:dyDescent="0.25">
      <c r="A1165" s="7" t="s">
        <v>1971</v>
      </c>
      <c r="B1165" s="7" t="s">
        <v>2133</v>
      </c>
      <c r="C1165" s="7"/>
      <c r="D1165" s="12" t="s">
        <v>2148</v>
      </c>
      <c r="E1165" s="8" t="s">
        <v>82</v>
      </c>
      <c r="F1165" s="13">
        <v>0.04</v>
      </c>
      <c r="G1165" s="12"/>
    </row>
    <row r="1166" spans="1:7" x14ac:dyDescent="0.25">
      <c r="A1166" s="7" t="s">
        <v>1971</v>
      </c>
      <c r="B1166" s="7" t="s">
        <v>2133</v>
      </c>
      <c r="C1166" s="7"/>
      <c r="D1166" s="12" t="s">
        <v>2149</v>
      </c>
      <c r="E1166" s="8" t="s">
        <v>82</v>
      </c>
      <c r="F1166" s="13">
        <v>2.5999999999999999E-2</v>
      </c>
      <c r="G1166" s="12"/>
    </row>
    <row r="1167" spans="1:7" x14ac:dyDescent="0.25">
      <c r="A1167" s="7" t="s">
        <v>1971</v>
      </c>
      <c r="B1167" s="7" t="s">
        <v>2133</v>
      </c>
      <c r="C1167" s="7"/>
      <c r="D1167" s="12" t="s">
        <v>2150</v>
      </c>
      <c r="E1167" s="8" t="s">
        <v>82</v>
      </c>
      <c r="F1167" s="13">
        <v>0.05</v>
      </c>
      <c r="G1167" s="12"/>
    </row>
    <row r="1168" spans="1:7" x14ac:dyDescent="0.25">
      <c r="A1168" s="7" t="s">
        <v>1971</v>
      </c>
      <c r="B1168" s="7" t="s">
        <v>2133</v>
      </c>
      <c r="C1168" s="7"/>
      <c r="D1168" s="12" t="s">
        <v>2151</v>
      </c>
      <c r="E1168" s="8" t="s">
        <v>82</v>
      </c>
      <c r="F1168" s="13">
        <v>5.1999999999999998E-2</v>
      </c>
      <c r="G1168" s="12"/>
    </row>
    <row r="1169" spans="1:7" x14ac:dyDescent="0.25">
      <c r="A1169" s="7" t="s">
        <v>1971</v>
      </c>
      <c r="B1169" s="7" t="s">
        <v>2133</v>
      </c>
      <c r="C1169" s="7"/>
      <c r="D1169" s="12" t="s">
        <v>2152</v>
      </c>
      <c r="E1169" s="8" t="s">
        <v>82</v>
      </c>
      <c r="F1169" s="13">
        <v>2.4E-2</v>
      </c>
      <c r="G1169" s="12"/>
    </row>
    <row r="1170" spans="1:7" x14ac:dyDescent="0.25">
      <c r="A1170" s="7" t="s">
        <v>1971</v>
      </c>
      <c r="B1170" s="7" t="s">
        <v>2133</v>
      </c>
      <c r="C1170" s="7"/>
      <c r="D1170" s="12" t="s">
        <v>2153</v>
      </c>
      <c r="E1170" s="8" t="s">
        <v>82</v>
      </c>
      <c r="F1170" s="13">
        <v>6.0999999999999999E-2</v>
      </c>
      <c r="G1170" s="12"/>
    </row>
    <row r="1171" spans="1:7" x14ac:dyDescent="0.25">
      <c r="A1171" s="7" t="s">
        <v>1971</v>
      </c>
      <c r="B1171" s="7" t="s">
        <v>2133</v>
      </c>
      <c r="C1171" s="7"/>
      <c r="D1171" s="12" t="s">
        <v>2154</v>
      </c>
      <c r="E1171" s="8" t="s">
        <v>82</v>
      </c>
      <c r="F1171" s="13">
        <v>4.7E-2</v>
      </c>
      <c r="G1171" s="12"/>
    </row>
    <row r="1172" spans="1:7" x14ac:dyDescent="0.25">
      <c r="A1172" s="7" t="s">
        <v>1971</v>
      </c>
      <c r="B1172" s="7" t="s">
        <v>2133</v>
      </c>
      <c r="C1172" s="7"/>
      <c r="D1172" s="12" t="s">
        <v>2155</v>
      </c>
      <c r="E1172" s="8" t="s">
        <v>82</v>
      </c>
      <c r="F1172" s="13">
        <v>5.8000000000000003E-2</v>
      </c>
      <c r="G1172" s="12"/>
    </row>
    <row r="1173" spans="1:7" x14ac:dyDescent="0.25">
      <c r="A1173" s="7" t="s">
        <v>1971</v>
      </c>
      <c r="B1173" s="7" t="s">
        <v>2133</v>
      </c>
      <c r="C1173" s="7"/>
      <c r="D1173" s="12" t="s">
        <v>2156</v>
      </c>
      <c r="E1173" s="8" t="s">
        <v>82</v>
      </c>
      <c r="F1173" s="13">
        <v>5.7000000000000002E-2</v>
      </c>
      <c r="G1173" s="12"/>
    </row>
    <row r="1174" spans="1:7" x14ac:dyDescent="0.25">
      <c r="A1174" s="7" t="s">
        <v>1971</v>
      </c>
      <c r="B1174" s="7" t="s">
        <v>2133</v>
      </c>
      <c r="C1174" s="7"/>
      <c r="D1174" s="12" t="s">
        <v>2157</v>
      </c>
      <c r="E1174" s="8" t="s">
        <v>82</v>
      </c>
      <c r="F1174" s="13">
        <v>2.7E-2</v>
      </c>
      <c r="G1174" s="12"/>
    </row>
    <row r="1175" spans="1:7" x14ac:dyDescent="0.25">
      <c r="A1175" s="7" t="s">
        <v>1971</v>
      </c>
      <c r="B1175" s="7" t="s">
        <v>2133</v>
      </c>
      <c r="C1175" s="7"/>
      <c r="D1175" s="12" t="s">
        <v>2158</v>
      </c>
      <c r="E1175" s="8" t="s">
        <v>82</v>
      </c>
      <c r="F1175" s="13">
        <v>0.05</v>
      </c>
      <c r="G1175" s="12"/>
    </row>
    <row r="1176" spans="1:7" x14ac:dyDescent="0.25">
      <c r="A1176" s="7" t="s">
        <v>1971</v>
      </c>
      <c r="B1176" s="7" t="s">
        <v>2133</v>
      </c>
      <c r="C1176" s="7"/>
      <c r="D1176" s="12" t="s">
        <v>2159</v>
      </c>
      <c r="E1176" s="8" t="s">
        <v>82</v>
      </c>
      <c r="F1176" s="13">
        <v>3.9E-2</v>
      </c>
      <c r="G1176" s="12"/>
    </row>
    <row r="1177" spans="1:7" x14ac:dyDescent="0.25">
      <c r="A1177" s="7" t="s">
        <v>1971</v>
      </c>
      <c r="B1177" s="7" t="s">
        <v>2133</v>
      </c>
      <c r="C1177" s="7"/>
      <c r="D1177" s="12" t="s">
        <v>2160</v>
      </c>
      <c r="E1177" s="8" t="s">
        <v>82</v>
      </c>
      <c r="F1177" s="13">
        <v>0.04</v>
      </c>
      <c r="G1177" s="12"/>
    </row>
    <row r="1178" spans="1:7" x14ac:dyDescent="0.25">
      <c r="A1178" s="7" t="s">
        <v>1971</v>
      </c>
      <c r="B1178" s="7" t="s">
        <v>2133</v>
      </c>
      <c r="C1178" s="7"/>
      <c r="D1178" s="12" t="s">
        <v>2161</v>
      </c>
      <c r="E1178" s="8" t="s">
        <v>82</v>
      </c>
      <c r="F1178" s="13">
        <v>5.0999999999999997E-2</v>
      </c>
      <c r="G1178" s="12"/>
    </row>
    <row r="1179" spans="1:7" x14ac:dyDescent="0.25">
      <c r="A1179" s="7" t="s">
        <v>1971</v>
      </c>
      <c r="B1179" s="7" t="s">
        <v>2133</v>
      </c>
      <c r="C1179" s="7"/>
      <c r="D1179" s="12" t="s">
        <v>2162</v>
      </c>
      <c r="E1179" s="8" t="s">
        <v>82</v>
      </c>
      <c r="F1179" s="13">
        <v>4.8000000000000001E-2</v>
      </c>
      <c r="G1179" s="12"/>
    </row>
    <row r="1180" spans="1:7" x14ac:dyDescent="0.25">
      <c r="A1180" s="7" t="s">
        <v>1971</v>
      </c>
      <c r="B1180" s="7" t="s">
        <v>2133</v>
      </c>
      <c r="C1180" s="7"/>
      <c r="D1180" s="12" t="s">
        <v>2163</v>
      </c>
      <c r="E1180" s="8" t="s">
        <v>82</v>
      </c>
      <c r="F1180" s="13">
        <v>2.5000000000000001E-2</v>
      </c>
      <c r="G1180" s="12"/>
    </row>
    <row r="1181" spans="1:7" x14ac:dyDescent="0.25">
      <c r="A1181" s="7" t="s">
        <v>1971</v>
      </c>
      <c r="B1181" s="7" t="s">
        <v>2133</v>
      </c>
      <c r="C1181" s="7"/>
      <c r="D1181" s="12" t="s">
        <v>2164</v>
      </c>
      <c r="E1181" s="8" t="s">
        <v>82</v>
      </c>
      <c r="F1181" s="13">
        <v>2.8000000000000001E-2</v>
      </c>
      <c r="G1181" s="12"/>
    </row>
    <row r="1182" spans="1:7" x14ac:dyDescent="0.25">
      <c r="A1182" s="7" t="s">
        <v>1971</v>
      </c>
      <c r="B1182" s="7" t="s">
        <v>2133</v>
      </c>
      <c r="C1182" s="7"/>
      <c r="D1182" s="12" t="s">
        <v>2165</v>
      </c>
      <c r="E1182" s="8" t="s">
        <v>82</v>
      </c>
      <c r="F1182" s="13">
        <v>5.3999999999999999E-2</v>
      </c>
      <c r="G1182" s="12"/>
    </row>
    <row r="1183" spans="1:7" x14ac:dyDescent="0.25">
      <c r="A1183" s="7" t="s">
        <v>1971</v>
      </c>
      <c r="B1183" s="7" t="s">
        <v>2133</v>
      </c>
      <c r="C1183" s="7"/>
      <c r="D1183" s="12" t="s">
        <v>2166</v>
      </c>
      <c r="E1183" s="8" t="s">
        <v>82</v>
      </c>
      <c r="F1183" s="13">
        <v>2.7E-2</v>
      </c>
      <c r="G1183" s="12"/>
    </row>
    <row r="1184" spans="1:7" ht="25.5" x14ac:dyDescent="0.25">
      <c r="A1184" s="7" t="s">
        <v>1971</v>
      </c>
      <c r="B1184" s="7" t="s">
        <v>2133</v>
      </c>
      <c r="C1184" s="7"/>
      <c r="D1184" s="12" t="s">
        <v>2167</v>
      </c>
      <c r="E1184" s="8" t="s">
        <v>82</v>
      </c>
      <c r="F1184" s="13">
        <v>3.1E-2</v>
      </c>
      <c r="G1184" s="12"/>
    </row>
    <row r="1185" spans="1:7" x14ac:dyDescent="0.25">
      <c r="A1185" s="7" t="s">
        <v>1971</v>
      </c>
      <c r="B1185" s="7" t="s">
        <v>2133</v>
      </c>
      <c r="C1185" s="7"/>
      <c r="D1185" s="12" t="s">
        <v>2168</v>
      </c>
      <c r="E1185" s="8" t="s">
        <v>82</v>
      </c>
      <c r="F1185" s="13">
        <v>6.8000000000000005E-2</v>
      </c>
      <c r="G1185" s="12"/>
    </row>
    <row r="1186" spans="1:7" x14ac:dyDescent="0.25">
      <c r="A1186" s="7" t="s">
        <v>1971</v>
      </c>
      <c r="B1186" s="7" t="s">
        <v>2133</v>
      </c>
      <c r="C1186" s="7"/>
      <c r="D1186" s="12" t="s">
        <v>2169</v>
      </c>
      <c r="E1186" s="8" t="s">
        <v>82</v>
      </c>
      <c r="F1186" s="13">
        <v>0.03</v>
      </c>
      <c r="G1186" s="12"/>
    </row>
    <row r="1187" spans="1:7" x14ac:dyDescent="0.25">
      <c r="A1187" s="7" t="s">
        <v>1971</v>
      </c>
      <c r="B1187" s="7" t="s">
        <v>2133</v>
      </c>
      <c r="C1187" s="7"/>
      <c r="D1187" s="12" t="s">
        <v>2170</v>
      </c>
      <c r="E1187" s="8" t="s">
        <v>82</v>
      </c>
      <c r="F1187" s="13">
        <v>4.3999999999999997E-2</v>
      </c>
      <c r="G1187" s="12"/>
    </row>
    <row r="1188" spans="1:7" x14ac:dyDescent="0.25">
      <c r="A1188" s="7" t="s">
        <v>1971</v>
      </c>
      <c r="B1188" s="7" t="s">
        <v>2133</v>
      </c>
      <c r="C1188" s="7"/>
      <c r="D1188" s="12" t="s">
        <v>2171</v>
      </c>
      <c r="E1188" s="8" t="s">
        <v>82</v>
      </c>
      <c r="F1188" s="13">
        <v>4.7E-2</v>
      </c>
      <c r="G1188" s="12"/>
    </row>
    <row r="1189" spans="1:7" x14ac:dyDescent="0.25">
      <c r="A1189" s="7" t="s">
        <v>1971</v>
      </c>
      <c r="B1189" s="7" t="s">
        <v>2133</v>
      </c>
      <c r="C1189" s="7"/>
      <c r="D1189" s="12" t="s">
        <v>2172</v>
      </c>
      <c r="E1189" s="8" t="s">
        <v>82</v>
      </c>
      <c r="F1189" s="13">
        <v>4.2999999999999997E-2</v>
      </c>
      <c r="G1189" s="12"/>
    </row>
    <row r="1190" spans="1:7" x14ac:dyDescent="0.25">
      <c r="A1190" s="7" t="s">
        <v>1971</v>
      </c>
      <c r="B1190" s="7" t="s">
        <v>2133</v>
      </c>
      <c r="C1190" s="7"/>
      <c r="D1190" s="12" t="s">
        <v>2173</v>
      </c>
      <c r="E1190" s="8" t="s">
        <v>82</v>
      </c>
      <c r="F1190" s="13">
        <v>5.1999999999999998E-2</v>
      </c>
      <c r="G1190" s="12"/>
    </row>
    <row r="1191" spans="1:7" x14ac:dyDescent="0.25">
      <c r="A1191" s="7" t="s">
        <v>1971</v>
      </c>
      <c r="B1191" s="7" t="s">
        <v>2133</v>
      </c>
      <c r="C1191" s="7"/>
      <c r="D1191" s="12" t="s">
        <v>2174</v>
      </c>
      <c r="E1191" s="8" t="s">
        <v>82</v>
      </c>
      <c r="F1191" s="13">
        <v>3.6999999999999998E-2</v>
      </c>
      <c r="G1191" s="12"/>
    </row>
    <row r="1192" spans="1:7" x14ac:dyDescent="0.25">
      <c r="A1192" s="7" t="s">
        <v>1971</v>
      </c>
      <c r="B1192" s="7" t="s">
        <v>2133</v>
      </c>
      <c r="C1192" s="7"/>
      <c r="D1192" s="12" t="s">
        <v>2175</v>
      </c>
      <c r="E1192" s="8" t="s">
        <v>82</v>
      </c>
      <c r="F1192" s="13">
        <v>2.5000000000000001E-2</v>
      </c>
      <c r="G1192" s="12"/>
    </row>
    <row r="1193" spans="1:7" x14ac:dyDescent="0.25">
      <c r="A1193" s="7" t="s">
        <v>1971</v>
      </c>
      <c r="B1193" s="7" t="s">
        <v>2133</v>
      </c>
      <c r="C1193" s="7"/>
      <c r="D1193" s="12" t="s">
        <v>2176</v>
      </c>
      <c r="E1193" s="8" t="s">
        <v>82</v>
      </c>
      <c r="F1193" s="13">
        <v>5.2999999999999999E-2</v>
      </c>
      <c r="G1193" s="12"/>
    </row>
    <row r="1194" spans="1:7" x14ac:dyDescent="0.25">
      <c r="A1194" s="7" t="s">
        <v>1971</v>
      </c>
      <c r="B1194" s="7" t="s">
        <v>2133</v>
      </c>
      <c r="C1194" s="7"/>
      <c r="D1194" s="12" t="s">
        <v>2177</v>
      </c>
      <c r="E1194" s="8" t="s">
        <v>82</v>
      </c>
      <c r="F1194" s="13">
        <v>4.9000000000000002E-2</v>
      </c>
      <c r="G1194" s="12"/>
    </row>
    <row r="1195" spans="1:7" x14ac:dyDescent="0.25">
      <c r="A1195" s="7" t="s">
        <v>1971</v>
      </c>
      <c r="B1195" s="7" t="s">
        <v>2133</v>
      </c>
      <c r="C1195" s="7"/>
      <c r="D1195" s="12" t="s">
        <v>2178</v>
      </c>
      <c r="E1195" s="8" t="s">
        <v>82</v>
      </c>
      <c r="F1195" s="13">
        <v>4.7E-2</v>
      </c>
      <c r="G1195" s="12"/>
    </row>
    <row r="1196" spans="1:7" x14ac:dyDescent="0.25">
      <c r="A1196" s="7" t="s">
        <v>1971</v>
      </c>
      <c r="B1196" s="7" t="s">
        <v>2133</v>
      </c>
      <c r="C1196" s="7"/>
      <c r="D1196" s="12" t="s">
        <v>2179</v>
      </c>
      <c r="E1196" s="8" t="s">
        <v>82</v>
      </c>
      <c r="F1196" s="13">
        <v>5.8000000000000003E-2</v>
      </c>
      <c r="G1196" s="12"/>
    </row>
    <row r="1197" spans="1:7" x14ac:dyDescent="0.25">
      <c r="A1197" s="7" t="s">
        <v>1971</v>
      </c>
      <c r="B1197" s="7" t="s">
        <v>2133</v>
      </c>
      <c r="C1197" s="7"/>
      <c r="D1197" s="12" t="s">
        <v>2180</v>
      </c>
      <c r="E1197" s="8" t="s">
        <v>82</v>
      </c>
      <c r="F1197" s="13">
        <v>5.0999999999999997E-2</v>
      </c>
      <c r="G1197" s="12"/>
    </row>
    <row r="1198" spans="1:7" x14ac:dyDescent="0.25">
      <c r="A1198" s="7" t="s">
        <v>1971</v>
      </c>
      <c r="B1198" s="7" t="s">
        <v>2133</v>
      </c>
      <c r="C1198" s="7"/>
      <c r="D1198" s="12" t="s">
        <v>2181</v>
      </c>
      <c r="E1198" s="8" t="s">
        <v>82</v>
      </c>
      <c r="F1198" s="13">
        <v>3.3000000000000002E-2</v>
      </c>
      <c r="G1198" s="12"/>
    </row>
    <row r="1199" spans="1:7" x14ac:dyDescent="0.25">
      <c r="A1199" s="7" t="s">
        <v>1971</v>
      </c>
      <c r="B1199" s="7" t="s">
        <v>2182</v>
      </c>
      <c r="C1199" s="7"/>
      <c r="D1199" s="12" t="s">
        <v>2183</v>
      </c>
      <c r="E1199" s="8" t="s">
        <v>82</v>
      </c>
      <c r="F1199" s="13">
        <v>1E-3</v>
      </c>
      <c r="G1199" s="12"/>
    </row>
    <row r="1200" spans="1:7" x14ac:dyDescent="0.25">
      <c r="A1200" s="7" t="s">
        <v>1971</v>
      </c>
      <c r="B1200" s="7" t="s">
        <v>2182</v>
      </c>
      <c r="C1200" s="7"/>
      <c r="D1200" s="12" t="s">
        <v>2184</v>
      </c>
      <c r="E1200" s="8" t="s">
        <v>82</v>
      </c>
      <c r="F1200" s="13">
        <v>1E-3</v>
      </c>
      <c r="G1200" s="12"/>
    </row>
    <row r="1201" spans="1:7" x14ac:dyDescent="0.25">
      <c r="A1201" s="7" t="s">
        <v>1971</v>
      </c>
      <c r="B1201" s="7" t="s">
        <v>2182</v>
      </c>
      <c r="C1201" s="7"/>
      <c r="D1201" s="12" t="s">
        <v>2185</v>
      </c>
      <c r="E1201" s="8" t="s">
        <v>82</v>
      </c>
      <c r="F1201" s="13">
        <v>1E-3</v>
      </c>
      <c r="G1201" s="12"/>
    </row>
    <row r="1202" spans="1:7" x14ac:dyDescent="0.25">
      <c r="A1202" s="7" t="s">
        <v>1971</v>
      </c>
      <c r="B1202" s="7" t="s">
        <v>2182</v>
      </c>
      <c r="C1202" s="7"/>
      <c r="D1202" s="12" t="s">
        <v>2186</v>
      </c>
      <c r="E1202" s="8" t="s">
        <v>82</v>
      </c>
      <c r="F1202" s="13">
        <v>1E-3</v>
      </c>
      <c r="G1202" s="12"/>
    </row>
    <row r="1203" spans="1:7" x14ac:dyDescent="0.25">
      <c r="A1203" s="7" t="s">
        <v>1971</v>
      </c>
      <c r="B1203" s="7" t="s">
        <v>2182</v>
      </c>
      <c r="C1203" s="7"/>
      <c r="D1203" s="12" t="s">
        <v>2187</v>
      </c>
      <c r="E1203" s="8" t="s">
        <v>82</v>
      </c>
      <c r="F1203" s="13">
        <v>1E-3</v>
      </c>
      <c r="G1203" s="12"/>
    </row>
    <row r="1204" spans="1:7" x14ac:dyDescent="0.25">
      <c r="A1204" s="7" t="s">
        <v>1971</v>
      </c>
      <c r="B1204" s="7" t="s">
        <v>2182</v>
      </c>
      <c r="C1204" s="7"/>
      <c r="D1204" s="12" t="s">
        <v>2188</v>
      </c>
      <c r="E1204" s="8" t="s">
        <v>82</v>
      </c>
      <c r="F1204" s="13">
        <v>1E-3</v>
      </c>
      <c r="G1204" s="12"/>
    </row>
    <row r="1205" spans="1:7" x14ac:dyDescent="0.25">
      <c r="A1205" s="7" t="s">
        <v>1971</v>
      </c>
      <c r="B1205" s="7" t="s">
        <v>2182</v>
      </c>
      <c r="C1205" s="7"/>
      <c r="D1205" s="12" t="s">
        <v>2189</v>
      </c>
      <c r="E1205" s="8" t="s">
        <v>82</v>
      </c>
      <c r="F1205" s="13">
        <v>1E-3</v>
      </c>
      <c r="G1205" s="12"/>
    </row>
    <row r="1206" spans="1:7" x14ac:dyDescent="0.25">
      <c r="A1206" s="7" t="s">
        <v>1971</v>
      </c>
      <c r="B1206" s="7" t="s">
        <v>2182</v>
      </c>
      <c r="C1206" s="7"/>
      <c r="D1206" s="12" t="s">
        <v>2190</v>
      </c>
      <c r="E1206" s="8" t="s">
        <v>82</v>
      </c>
      <c r="F1206" s="13">
        <v>1E-3</v>
      </c>
      <c r="G1206" s="12"/>
    </row>
    <row r="1207" spans="1:7" x14ac:dyDescent="0.25">
      <c r="A1207" s="7" t="s">
        <v>1971</v>
      </c>
      <c r="B1207" s="7" t="s">
        <v>2182</v>
      </c>
      <c r="C1207" s="7"/>
      <c r="D1207" s="12" t="s">
        <v>2191</v>
      </c>
      <c r="E1207" s="8" t="s">
        <v>82</v>
      </c>
      <c r="F1207" s="13">
        <v>1E-3</v>
      </c>
      <c r="G1207" s="12"/>
    </row>
    <row r="1208" spans="1:7" x14ac:dyDescent="0.25">
      <c r="A1208" s="7" t="s">
        <v>1971</v>
      </c>
      <c r="B1208" s="7" t="s">
        <v>2182</v>
      </c>
      <c r="C1208" s="7"/>
      <c r="D1208" s="12" t="s">
        <v>2192</v>
      </c>
      <c r="E1208" s="8" t="s">
        <v>82</v>
      </c>
      <c r="F1208" s="13">
        <v>1E-3</v>
      </c>
      <c r="G1208" s="12"/>
    </row>
    <row r="1209" spans="1:7" x14ac:dyDescent="0.25">
      <c r="A1209" s="7" t="s">
        <v>1971</v>
      </c>
      <c r="B1209" s="7" t="s">
        <v>2182</v>
      </c>
      <c r="C1209" s="7"/>
      <c r="D1209" s="12" t="s">
        <v>2193</v>
      </c>
      <c r="E1209" s="8" t="s">
        <v>82</v>
      </c>
      <c r="F1209" s="13">
        <v>1E-3</v>
      </c>
      <c r="G1209" s="12"/>
    </row>
    <row r="1210" spans="1:7" x14ac:dyDescent="0.25">
      <c r="A1210" s="7" t="s">
        <v>1971</v>
      </c>
      <c r="B1210" s="7" t="s">
        <v>2182</v>
      </c>
      <c r="C1210" s="7"/>
      <c r="D1210" s="12" t="s">
        <v>2194</v>
      </c>
      <c r="E1210" s="8" t="s">
        <v>82</v>
      </c>
      <c r="F1210" s="13">
        <v>1E-3</v>
      </c>
      <c r="G1210" s="12"/>
    </row>
    <row r="1211" spans="1:7" x14ac:dyDescent="0.25">
      <c r="A1211" s="7" t="s">
        <v>1971</v>
      </c>
      <c r="B1211" s="7" t="s">
        <v>2182</v>
      </c>
      <c r="C1211" s="7"/>
      <c r="D1211" s="12" t="s">
        <v>2195</v>
      </c>
      <c r="E1211" s="8" t="s">
        <v>82</v>
      </c>
      <c r="F1211" s="13">
        <v>1E-3</v>
      </c>
      <c r="G1211" s="12"/>
    </row>
    <row r="1212" spans="1:7" x14ac:dyDescent="0.25">
      <c r="A1212" s="7" t="s">
        <v>1971</v>
      </c>
      <c r="B1212" s="7" t="s">
        <v>2182</v>
      </c>
      <c r="C1212" s="7"/>
      <c r="D1212" s="12" t="s">
        <v>2196</v>
      </c>
      <c r="E1212" s="8" t="s">
        <v>82</v>
      </c>
      <c r="F1212" s="13">
        <v>1E-3</v>
      </c>
      <c r="G1212" s="12"/>
    </row>
    <row r="1213" spans="1:7" x14ac:dyDescent="0.25">
      <c r="A1213" s="7" t="s">
        <v>1971</v>
      </c>
      <c r="B1213" s="7" t="s">
        <v>2182</v>
      </c>
      <c r="C1213" s="7"/>
      <c r="D1213" s="12" t="s">
        <v>2197</v>
      </c>
      <c r="E1213" s="8" t="s">
        <v>82</v>
      </c>
      <c r="F1213" s="13">
        <v>1E-3</v>
      </c>
      <c r="G1213" s="12"/>
    </row>
    <row r="1214" spans="1:7" x14ac:dyDescent="0.25">
      <c r="A1214" s="7" t="s">
        <v>1971</v>
      </c>
      <c r="B1214" s="7" t="s">
        <v>2182</v>
      </c>
      <c r="C1214" s="7"/>
      <c r="D1214" s="12" t="s">
        <v>2198</v>
      </c>
      <c r="E1214" s="8" t="s">
        <v>82</v>
      </c>
      <c r="F1214" s="13">
        <v>1E-3</v>
      </c>
      <c r="G1214" s="12"/>
    </row>
    <row r="1215" spans="1:7" x14ac:dyDescent="0.25">
      <c r="A1215" s="7" t="s">
        <v>1971</v>
      </c>
      <c r="B1215" s="7" t="s">
        <v>2182</v>
      </c>
      <c r="C1215" s="7"/>
      <c r="D1215" s="12" t="s">
        <v>2199</v>
      </c>
      <c r="E1215" s="8" t="s">
        <v>82</v>
      </c>
      <c r="F1215" s="13">
        <v>2E-3</v>
      </c>
      <c r="G1215" s="12"/>
    </row>
    <row r="1216" spans="1:7" x14ac:dyDescent="0.25">
      <c r="A1216" s="7" t="s">
        <v>1971</v>
      </c>
      <c r="B1216" s="7" t="s">
        <v>2182</v>
      </c>
      <c r="C1216" s="7"/>
      <c r="D1216" s="12" t="s">
        <v>2200</v>
      </c>
      <c r="E1216" s="8" t="s">
        <v>82</v>
      </c>
      <c r="F1216" s="13">
        <v>1E-3</v>
      </c>
      <c r="G1216" s="12"/>
    </row>
    <row r="1217" spans="1:7" x14ac:dyDescent="0.25">
      <c r="A1217" s="7" t="s">
        <v>1971</v>
      </c>
      <c r="B1217" s="7" t="s">
        <v>2182</v>
      </c>
      <c r="C1217" s="7"/>
      <c r="D1217" s="12" t="s">
        <v>2201</v>
      </c>
      <c r="E1217" s="8" t="s">
        <v>82</v>
      </c>
      <c r="F1217" s="13">
        <v>1E-3</v>
      </c>
      <c r="G1217" s="12"/>
    </row>
    <row r="1218" spans="1:7" x14ac:dyDescent="0.25">
      <c r="A1218" s="7" t="s">
        <v>1971</v>
      </c>
      <c r="B1218" s="7" t="s">
        <v>2182</v>
      </c>
      <c r="C1218" s="7"/>
      <c r="D1218" s="12" t="s">
        <v>2202</v>
      </c>
      <c r="E1218" s="8" t="s">
        <v>82</v>
      </c>
      <c r="F1218" s="13">
        <v>1E-3</v>
      </c>
      <c r="G1218" s="12"/>
    </row>
    <row r="1219" spans="1:7" x14ac:dyDescent="0.25">
      <c r="A1219" s="7" t="s">
        <v>1971</v>
      </c>
      <c r="B1219" s="7" t="s">
        <v>2182</v>
      </c>
      <c r="C1219" s="7"/>
      <c r="D1219" s="12" t="s">
        <v>2203</v>
      </c>
      <c r="E1219" s="8" t="s">
        <v>82</v>
      </c>
      <c r="F1219" s="13">
        <v>1E-3</v>
      </c>
      <c r="G1219" s="12"/>
    </row>
    <row r="1220" spans="1:7" x14ac:dyDescent="0.25">
      <c r="A1220" s="7" t="s">
        <v>1971</v>
      </c>
      <c r="B1220" s="7" t="s">
        <v>2182</v>
      </c>
      <c r="C1220" s="7"/>
      <c r="D1220" s="12" t="s">
        <v>2204</v>
      </c>
      <c r="E1220" s="8" t="s">
        <v>82</v>
      </c>
      <c r="F1220" s="13">
        <v>1E-3</v>
      </c>
      <c r="G1220" s="12"/>
    </row>
    <row r="1221" spans="1:7" x14ac:dyDescent="0.25">
      <c r="A1221" s="7" t="s">
        <v>1971</v>
      </c>
      <c r="B1221" s="7" t="s">
        <v>2182</v>
      </c>
      <c r="C1221" s="7"/>
      <c r="D1221" s="12" t="s">
        <v>2205</v>
      </c>
      <c r="E1221" s="8" t="s">
        <v>82</v>
      </c>
      <c r="F1221" s="13">
        <v>1E-3</v>
      </c>
      <c r="G1221" s="12"/>
    </row>
    <row r="1222" spans="1:7" x14ac:dyDescent="0.25">
      <c r="A1222" s="7" t="s">
        <v>1971</v>
      </c>
      <c r="B1222" s="7" t="s">
        <v>2182</v>
      </c>
      <c r="C1222" s="7"/>
      <c r="D1222" s="12" t="s">
        <v>2206</v>
      </c>
      <c r="E1222" s="8" t="s">
        <v>82</v>
      </c>
      <c r="F1222" s="13">
        <v>1E-3</v>
      </c>
      <c r="G1222" s="12"/>
    </row>
    <row r="1223" spans="1:7" x14ac:dyDescent="0.25">
      <c r="A1223" s="7" t="s">
        <v>1971</v>
      </c>
      <c r="B1223" s="7" t="s">
        <v>2182</v>
      </c>
      <c r="C1223" s="7"/>
      <c r="D1223" s="12" t="s">
        <v>2207</v>
      </c>
      <c r="E1223" s="8" t="s">
        <v>82</v>
      </c>
      <c r="F1223" s="13">
        <v>1E-3</v>
      </c>
      <c r="G1223" s="12"/>
    </row>
    <row r="1224" spans="1:7" x14ac:dyDescent="0.25">
      <c r="A1224" s="7" t="s">
        <v>1971</v>
      </c>
      <c r="B1224" s="7" t="s">
        <v>2182</v>
      </c>
      <c r="C1224" s="7"/>
      <c r="D1224" s="12" t="s">
        <v>2208</v>
      </c>
      <c r="E1224" s="8" t="s">
        <v>82</v>
      </c>
      <c r="F1224" s="13">
        <v>1E-3</v>
      </c>
      <c r="G1224" s="12"/>
    </row>
    <row r="1225" spans="1:7" x14ac:dyDescent="0.25">
      <c r="A1225" s="7" t="s">
        <v>1971</v>
      </c>
      <c r="B1225" s="7" t="s">
        <v>2182</v>
      </c>
      <c r="C1225" s="7"/>
      <c r="D1225" s="12" t="s">
        <v>2209</v>
      </c>
      <c r="E1225" s="8" t="s">
        <v>82</v>
      </c>
      <c r="F1225" s="13">
        <v>1E-3</v>
      </c>
      <c r="G1225" s="12"/>
    </row>
    <row r="1226" spans="1:7" x14ac:dyDescent="0.25">
      <c r="A1226" s="7" t="s">
        <v>1971</v>
      </c>
      <c r="B1226" s="7" t="s">
        <v>2182</v>
      </c>
      <c r="C1226" s="7"/>
      <c r="D1226" s="12" t="s">
        <v>2210</v>
      </c>
      <c r="E1226" s="8" t="s">
        <v>82</v>
      </c>
      <c r="F1226" s="13">
        <v>1E-3</v>
      </c>
      <c r="G1226" s="12"/>
    </row>
    <row r="1227" spans="1:7" x14ac:dyDescent="0.25">
      <c r="A1227" s="7" t="s">
        <v>1971</v>
      </c>
      <c r="B1227" s="7" t="s">
        <v>2211</v>
      </c>
      <c r="C1227" s="7"/>
      <c r="D1227" s="12" t="s">
        <v>2212</v>
      </c>
      <c r="E1227" s="8" t="s">
        <v>82</v>
      </c>
      <c r="F1227" s="13">
        <v>1E-3</v>
      </c>
      <c r="G1227" s="12"/>
    </row>
    <row r="1228" spans="1:7" x14ac:dyDescent="0.25">
      <c r="A1228" s="7" t="s">
        <v>1971</v>
      </c>
      <c r="B1228" s="7" t="s">
        <v>2211</v>
      </c>
      <c r="C1228" s="7"/>
      <c r="D1228" s="12" t="s">
        <v>2213</v>
      </c>
      <c r="E1228" s="8" t="s">
        <v>82</v>
      </c>
      <c r="F1228" s="13">
        <v>1E-3</v>
      </c>
      <c r="G1228" s="12"/>
    </row>
    <row r="1229" spans="1:7" x14ac:dyDescent="0.25">
      <c r="A1229" s="7" t="s">
        <v>1971</v>
      </c>
      <c r="B1229" s="7" t="s">
        <v>2211</v>
      </c>
      <c r="C1229" s="7"/>
      <c r="D1229" s="12" t="s">
        <v>2214</v>
      </c>
      <c r="E1229" s="8" t="s">
        <v>82</v>
      </c>
      <c r="F1229" s="13">
        <v>1E-3</v>
      </c>
      <c r="G1229" s="12"/>
    </row>
    <row r="1230" spans="1:7" x14ac:dyDescent="0.25">
      <c r="A1230" s="7" t="s">
        <v>1971</v>
      </c>
      <c r="B1230" s="7" t="s">
        <v>2211</v>
      </c>
      <c r="C1230" s="7"/>
      <c r="D1230" s="12" t="s">
        <v>2215</v>
      </c>
      <c r="E1230" s="8" t="s">
        <v>82</v>
      </c>
      <c r="F1230" s="13">
        <v>1E-3</v>
      </c>
      <c r="G1230" s="12"/>
    </row>
    <row r="1231" spans="1:7" x14ac:dyDescent="0.25">
      <c r="A1231" s="7" t="s">
        <v>1971</v>
      </c>
      <c r="B1231" s="7" t="s">
        <v>2211</v>
      </c>
      <c r="C1231" s="7"/>
      <c r="D1231" s="12" t="s">
        <v>2216</v>
      </c>
      <c r="E1231" s="8" t="s">
        <v>82</v>
      </c>
      <c r="F1231" s="13">
        <v>1E-3</v>
      </c>
      <c r="G1231" s="12"/>
    </row>
    <row r="1232" spans="1:7" x14ac:dyDescent="0.25">
      <c r="A1232" s="7" t="s">
        <v>1971</v>
      </c>
      <c r="B1232" s="7" t="s">
        <v>2211</v>
      </c>
      <c r="C1232" s="7"/>
      <c r="D1232" s="12" t="s">
        <v>2217</v>
      </c>
      <c r="E1232" s="8" t="s">
        <v>82</v>
      </c>
      <c r="F1232" s="13">
        <v>1E-3</v>
      </c>
      <c r="G1232" s="12"/>
    </row>
    <row r="1233" spans="1:7" x14ac:dyDescent="0.25">
      <c r="A1233" s="7" t="s">
        <v>1971</v>
      </c>
      <c r="B1233" s="7" t="s">
        <v>2211</v>
      </c>
      <c r="C1233" s="7"/>
      <c r="D1233" s="12" t="s">
        <v>2218</v>
      </c>
      <c r="E1233" s="8" t="s">
        <v>82</v>
      </c>
      <c r="F1233" s="13">
        <v>1E-3</v>
      </c>
      <c r="G1233" s="12"/>
    </row>
    <row r="1234" spans="1:7" x14ac:dyDescent="0.25">
      <c r="A1234" s="7" t="s">
        <v>1971</v>
      </c>
      <c r="B1234" s="7" t="s">
        <v>2211</v>
      </c>
      <c r="C1234" s="7"/>
      <c r="D1234" s="12" t="s">
        <v>2219</v>
      </c>
      <c r="E1234" s="8" t="s">
        <v>82</v>
      </c>
      <c r="F1234" s="13">
        <v>1E-3</v>
      </c>
      <c r="G1234" s="12"/>
    </row>
    <row r="1235" spans="1:7" x14ac:dyDescent="0.25">
      <c r="A1235" s="7" t="s">
        <v>1971</v>
      </c>
      <c r="B1235" s="7" t="s">
        <v>2211</v>
      </c>
      <c r="C1235" s="7"/>
      <c r="D1235" s="12" t="s">
        <v>2220</v>
      </c>
      <c r="E1235" s="8" t="s">
        <v>82</v>
      </c>
      <c r="F1235" s="13">
        <v>1E-3</v>
      </c>
      <c r="G1235" s="12"/>
    </row>
    <row r="1236" spans="1:7" x14ac:dyDescent="0.25">
      <c r="A1236" s="7" t="s">
        <v>1971</v>
      </c>
      <c r="B1236" s="7" t="s">
        <v>2221</v>
      </c>
      <c r="C1236" s="7"/>
      <c r="D1236" s="12" t="s">
        <v>2222</v>
      </c>
      <c r="E1236" s="8" t="s">
        <v>82</v>
      </c>
      <c r="F1236" s="13">
        <v>1E-3</v>
      </c>
      <c r="G1236" s="12"/>
    </row>
    <row r="1237" spans="1:7" x14ac:dyDescent="0.25">
      <c r="A1237" s="7" t="s">
        <v>1971</v>
      </c>
      <c r="B1237" s="7" t="s">
        <v>2221</v>
      </c>
      <c r="C1237" s="7"/>
      <c r="D1237" s="12" t="s">
        <v>2223</v>
      </c>
      <c r="E1237" s="8" t="s">
        <v>82</v>
      </c>
      <c r="F1237" s="13">
        <v>1.0999999999999999E-2</v>
      </c>
      <c r="G1237" s="12"/>
    </row>
    <row r="1238" spans="1:7" x14ac:dyDescent="0.25">
      <c r="A1238" s="7" t="s">
        <v>1971</v>
      </c>
      <c r="B1238" s="7" t="s">
        <v>2221</v>
      </c>
      <c r="C1238" s="7"/>
      <c r="D1238" s="12" t="s">
        <v>2224</v>
      </c>
      <c r="E1238" s="8" t="s">
        <v>82</v>
      </c>
      <c r="F1238" s="13">
        <v>1E-3</v>
      </c>
      <c r="G1238" s="12"/>
    </row>
    <row r="1239" spans="1:7" x14ac:dyDescent="0.25">
      <c r="A1239" s="7" t="s">
        <v>1971</v>
      </c>
      <c r="B1239" s="7" t="s">
        <v>2221</v>
      </c>
      <c r="C1239" s="7"/>
      <c r="D1239" s="12" t="s">
        <v>2225</v>
      </c>
      <c r="E1239" s="8" t="s">
        <v>82</v>
      </c>
      <c r="F1239" s="13">
        <v>1.2999999999999999E-2</v>
      </c>
      <c r="G1239" s="12"/>
    </row>
    <row r="1240" spans="1:7" x14ac:dyDescent="0.25">
      <c r="A1240" s="7" t="s">
        <v>2226</v>
      </c>
      <c r="B1240" s="7" t="s">
        <v>2227</v>
      </c>
      <c r="C1240" s="7"/>
      <c r="D1240" s="12" t="s">
        <v>2228</v>
      </c>
      <c r="E1240" s="8" t="s">
        <v>82</v>
      </c>
      <c r="F1240" s="13">
        <v>1E-3</v>
      </c>
      <c r="G1240" s="12"/>
    </row>
    <row r="1241" spans="1:7" x14ac:dyDescent="0.25">
      <c r="A1241" s="7" t="s">
        <v>2226</v>
      </c>
      <c r="B1241" s="7" t="s">
        <v>2227</v>
      </c>
      <c r="C1241" s="7"/>
      <c r="D1241" s="12" t="s">
        <v>2229</v>
      </c>
      <c r="E1241" s="8" t="s">
        <v>82</v>
      </c>
      <c r="F1241" s="13">
        <v>1E-3</v>
      </c>
      <c r="G1241" s="12"/>
    </row>
    <row r="1242" spans="1:7" x14ac:dyDescent="0.25">
      <c r="A1242" s="7" t="s">
        <v>2226</v>
      </c>
      <c r="B1242" s="7" t="s">
        <v>2230</v>
      </c>
      <c r="C1242" s="7"/>
      <c r="D1242" s="12" t="s">
        <v>2231</v>
      </c>
      <c r="E1242" s="8" t="s">
        <v>82</v>
      </c>
      <c r="F1242" s="13">
        <v>1E-3</v>
      </c>
      <c r="G1242" s="12"/>
    </row>
    <row r="1243" spans="1:7" x14ac:dyDescent="0.25">
      <c r="A1243" s="7" t="s">
        <v>2226</v>
      </c>
      <c r="B1243" s="7" t="s">
        <v>2230</v>
      </c>
      <c r="C1243" s="7"/>
      <c r="D1243" s="12" t="s">
        <v>2232</v>
      </c>
      <c r="E1243" s="8" t="s">
        <v>82</v>
      </c>
      <c r="F1243" s="13">
        <v>1E-3</v>
      </c>
      <c r="G1243" s="12"/>
    </row>
    <row r="1244" spans="1:7" x14ac:dyDescent="0.25">
      <c r="A1244" s="7" t="s">
        <v>2226</v>
      </c>
      <c r="B1244" s="7" t="s">
        <v>2233</v>
      </c>
      <c r="C1244" s="7"/>
      <c r="D1244" s="12" t="s">
        <v>2234</v>
      </c>
      <c r="E1244" s="8" t="s">
        <v>82</v>
      </c>
      <c r="F1244" s="13">
        <v>1E-3</v>
      </c>
      <c r="G1244" s="12"/>
    </row>
    <row r="1245" spans="1:7" x14ac:dyDescent="0.25">
      <c r="A1245" s="7" t="s">
        <v>2226</v>
      </c>
      <c r="B1245" s="7" t="s">
        <v>2233</v>
      </c>
      <c r="C1245" s="7"/>
      <c r="D1245" s="12" t="s">
        <v>2235</v>
      </c>
      <c r="E1245" s="8" t="s">
        <v>82</v>
      </c>
      <c r="F1245" s="13">
        <v>1E-3</v>
      </c>
      <c r="G1245" s="12"/>
    </row>
    <row r="1246" spans="1:7" x14ac:dyDescent="0.25">
      <c r="A1246" s="7" t="s">
        <v>2226</v>
      </c>
      <c r="B1246" s="7" t="s">
        <v>2236</v>
      </c>
      <c r="C1246" s="7"/>
      <c r="D1246" s="12" t="s">
        <v>2237</v>
      </c>
      <c r="E1246" s="8" t="s">
        <v>82</v>
      </c>
      <c r="F1246" s="13">
        <v>1E-3</v>
      </c>
      <c r="G1246" s="12"/>
    </row>
    <row r="1247" spans="1:7" x14ac:dyDescent="0.25">
      <c r="A1247" s="7" t="s">
        <v>2226</v>
      </c>
      <c r="B1247" s="7" t="s">
        <v>2236</v>
      </c>
      <c r="C1247" s="7"/>
      <c r="D1247" s="12" t="s">
        <v>2238</v>
      </c>
      <c r="E1247" s="8" t="s">
        <v>82</v>
      </c>
      <c r="F1247" s="13">
        <v>1E-3</v>
      </c>
      <c r="G1247" s="12"/>
    </row>
    <row r="1248" spans="1:7" x14ac:dyDescent="0.25">
      <c r="A1248" s="7" t="s">
        <v>2226</v>
      </c>
      <c r="B1248" s="7" t="s">
        <v>2236</v>
      </c>
      <c r="C1248" s="7"/>
      <c r="D1248" s="12" t="s">
        <v>2239</v>
      </c>
      <c r="E1248" s="8" t="s">
        <v>82</v>
      </c>
      <c r="F1248" s="13">
        <v>1E-3</v>
      </c>
      <c r="G1248" s="12"/>
    </row>
    <row r="1249" spans="1:7" x14ac:dyDescent="0.25">
      <c r="A1249" s="7" t="s">
        <v>2226</v>
      </c>
      <c r="B1249" s="7" t="s">
        <v>2240</v>
      </c>
      <c r="C1249" s="7"/>
      <c r="D1249" s="12" t="s">
        <v>2228</v>
      </c>
      <c r="E1249" s="8" t="s">
        <v>82</v>
      </c>
      <c r="F1249" s="13">
        <v>1E-3</v>
      </c>
      <c r="G1249" s="12"/>
    </row>
    <row r="1250" spans="1:7" x14ac:dyDescent="0.25">
      <c r="A1250" s="7" t="s">
        <v>2226</v>
      </c>
      <c r="B1250" s="7" t="s">
        <v>2240</v>
      </c>
      <c r="C1250" s="7"/>
      <c r="D1250" s="12" t="s">
        <v>2241</v>
      </c>
      <c r="E1250" s="8" t="s">
        <v>82</v>
      </c>
      <c r="F1250" s="13">
        <v>1E-3</v>
      </c>
      <c r="G1250" s="12"/>
    </row>
    <row r="1251" spans="1:7" x14ac:dyDescent="0.25">
      <c r="A1251" s="7" t="s">
        <v>2226</v>
      </c>
      <c r="B1251" s="7" t="s">
        <v>2242</v>
      </c>
      <c r="C1251" s="7"/>
      <c r="D1251" s="12" t="s">
        <v>2243</v>
      </c>
      <c r="E1251" s="8" t="s">
        <v>82</v>
      </c>
      <c r="F1251" s="13">
        <v>1E-3</v>
      </c>
      <c r="G1251" s="12"/>
    </row>
    <row r="1252" spans="1:7" x14ac:dyDescent="0.25">
      <c r="A1252" s="7" t="s">
        <v>2226</v>
      </c>
      <c r="B1252" s="7" t="s">
        <v>2242</v>
      </c>
      <c r="C1252" s="7"/>
      <c r="D1252" s="12" t="s">
        <v>2244</v>
      </c>
      <c r="E1252" s="8" t="s">
        <v>82</v>
      </c>
      <c r="F1252" s="13">
        <v>1E-3</v>
      </c>
      <c r="G1252" s="12"/>
    </row>
    <row r="1253" spans="1:7" x14ac:dyDescent="0.25">
      <c r="A1253" s="7" t="s">
        <v>2226</v>
      </c>
      <c r="B1253" s="7" t="s">
        <v>2242</v>
      </c>
      <c r="C1253" s="7"/>
      <c r="D1253" s="12" t="s">
        <v>2245</v>
      </c>
      <c r="E1253" s="8" t="s">
        <v>82</v>
      </c>
      <c r="F1253" s="13">
        <v>1E-3</v>
      </c>
      <c r="G1253" s="12"/>
    </row>
    <row r="1254" spans="1:7" x14ac:dyDescent="0.25">
      <c r="A1254" s="7" t="s">
        <v>2226</v>
      </c>
      <c r="B1254" s="7" t="s">
        <v>2242</v>
      </c>
      <c r="C1254" s="7"/>
      <c r="D1254" s="12" t="s">
        <v>2246</v>
      </c>
      <c r="E1254" s="8" t="s">
        <v>82</v>
      </c>
      <c r="F1254" s="13">
        <v>1E-3</v>
      </c>
      <c r="G1254" s="12"/>
    </row>
    <row r="1255" spans="1:7" x14ac:dyDescent="0.25">
      <c r="A1255" s="7" t="s">
        <v>2226</v>
      </c>
      <c r="B1255" s="7" t="s">
        <v>2242</v>
      </c>
      <c r="C1255" s="7"/>
      <c r="D1255" s="12" t="s">
        <v>2247</v>
      </c>
      <c r="E1255" s="8" t="s">
        <v>82</v>
      </c>
      <c r="F1255" s="13">
        <v>1E-3</v>
      </c>
      <c r="G1255" s="12"/>
    </row>
    <row r="1256" spans="1:7" x14ac:dyDescent="0.25">
      <c r="A1256" s="7" t="s">
        <v>2226</v>
      </c>
      <c r="B1256" s="7" t="s">
        <v>2242</v>
      </c>
      <c r="C1256" s="7"/>
      <c r="D1256" s="12" t="s">
        <v>2248</v>
      </c>
      <c r="E1256" s="8" t="s">
        <v>82</v>
      </c>
      <c r="F1256" s="13">
        <v>1E-3</v>
      </c>
      <c r="G1256" s="12"/>
    </row>
    <row r="1257" spans="1:7" x14ac:dyDescent="0.25">
      <c r="A1257" s="7" t="s">
        <v>2226</v>
      </c>
      <c r="B1257" s="7" t="s">
        <v>2242</v>
      </c>
      <c r="C1257" s="7"/>
      <c r="D1257" s="12" t="s">
        <v>2249</v>
      </c>
      <c r="E1257" s="8" t="s">
        <v>82</v>
      </c>
      <c r="F1257" s="13">
        <v>1E-3</v>
      </c>
      <c r="G1257" s="12"/>
    </row>
    <row r="1258" spans="1:7" x14ac:dyDescent="0.25">
      <c r="A1258" s="7" t="s">
        <v>2226</v>
      </c>
      <c r="B1258" s="7" t="s">
        <v>2242</v>
      </c>
      <c r="C1258" s="7"/>
      <c r="D1258" s="12" t="s">
        <v>2250</v>
      </c>
      <c r="E1258" s="8" t="s">
        <v>82</v>
      </c>
      <c r="F1258" s="13">
        <v>1E-3</v>
      </c>
      <c r="G1258" s="12"/>
    </row>
    <row r="1259" spans="1:7" x14ac:dyDescent="0.25">
      <c r="A1259" s="7" t="s">
        <v>2226</v>
      </c>
      <c r="B1259" s="7" t="s">
        <v>2242</v>
      </c>
      <c r="C1259" s="7"/>
      <c r="D1259" s="12" t="s">
        <v>2251</v>
      </c>
      <c r="E1259" s="8" t="s">
        <v>82</v>
      </c>
      <c r="F1259" s="13">
        <v>1E-3</v>
      </c>
      <c r="G1259" s="12"/>
    </row>
    <row r="1260" spans="1:7" x14ac:dyDescent="0.25">
      <c r="A1260" s="7" t="s">
        <v>2226</v>
      </c>
      <c r="B1260" s="7" t="s">
        <v>2242</v>
      </c>
      <c r="C1260" s="7"/>
      <c r="D1260" s="12" t="s">
        <v>2252</v>
      </c>
      <c r="E1260" s="8" t="s">
        <v>82</v>
      </c>
      <c r="F1260" s="13">
        <v>1E-3</v>
      </c>
      <c r="G1260" s="12"/>
    </row>
    <row r="1261" spans="1:7" x14ac:dyDescent="0.25">
      <c r="A1261" s="7" t="s">
        <v>2226</v>
      </c>
      <c r="B1261" s="7" t="s">
        <v>2253</v>
      </c>
      <c r="C1261" s="7"/>
      <c r="D1261" s="12" t="s">
        <v>2254</v>
      </c>
      <c r="E1261" s="8" t="s">
        <v>82</v>
      </c>
      <c r="F1261" s="13">
        <v>1E-3</v>
      </c>
      <c r="G1261" s="12"/>
    </row>
    <row r="1262" spans="1:7" x14ac:dyDescent="0.25">
      <c r="A1262" s="7" t="s">
        <v>2226</v>
      </c>
      <c r="B1262" s="7" t="s">
        <v>2253</v>
      </c>
      <c r="C1262" s="7"/>
      <c r="D1262" s="12" t="s">
        <v>2255</v>
      </c>
      <c r="E1262" s="8" t="s">
        <v>82</v>
      </c>
      <c r="F1262" s="13">
        <v>1E-3</v>
      </c>
      <c r="G1262" s="12"/>
    </row>
    <row r="1263" spans="1:7" x14ac:dyDescent="0.25">
      <c r="A1263" s="7" t="s">
        <v>2226</v>
      </c>
      <c r="B1263" s="7" t="s">
        <v>2256</v>
      </c>
      <c r="C1263" s="7"/>
      <c r="D1263" s="12" t="s">
        <v>2228</v>
      </c>
      <c r="E1263" s="8" t="s">
        <v>82</v>
      </c>
      <c r="F1263" s="13">
        <v>1E-3</v>
      </c>
      <c r="G1263" s="12"/>
    </row>
    <row r="1264" spans="1:7" x14ac:dyDescent="0.25">
      <c r="A1264" s="7" t="s">
        <v>2226</v>
      </c>
      <c r="B1264" s="7" t="s">
        <v>2256</v>
      </c>
      <c r="C1264" s="7"/>
      <c r="D1264" s="12" t="s">
        <v>2257</v>
      </c>
      <c r="E1264" s="8" t="s">
        <v>82</v>
      </c>
      <c r="F1264" s="13">
        <v>1E-3</v>
      </c>
      <c r="G1264" s="12"/>
    </row>
    <row r="1265" spans="1:7" x14ac:dyDescent="0.25">
      <c r="A1265" s="7" t="s">
        <v>2226</v>
      </c>
      <c r="B1265" s="7" t="s">
        <v>1108</v>
      </c>
      <c r="C1265" s="7"/>
      <c r="D1265" s="12" t="s">
        <v>2258</v>
      </c>
      <c r="E1265" s="8" t="s">
        <v>82</v>
      </c>
      <c r="F1265" s="13">
        <v>1E-3</v>
      </c>
      <c r="G1265" s="12"/>
    </row>
    <row r="1266" spans="1:7" x14ac:dyDescent="0.25">
      <c r="A1266" s="7" t="s">
        <v>2226</v>
      </c>
      <c r="B1266" s="7" t="s">
        <v>1108</v>
      </c>
      <c r="C1266" s="7"/>
      <c r="D1266" s="12" t="s">
        <v>2259</v>
      </c>
      <c r="E1266" s="8" t="s">
        <v>82</v>
      </c>
      <c r="F1266" s="13">
        <v>1E-3</v>
      </c>
      <c r="G1266" s="12"/>
    </row>
    <row r="1267" spans="1:7" x14ac:dyDescent="0.25">
      <c r="A1267" s="7" t="s">
        <v>2226</v>
      </c>
      <c r="B1267" s="7" t="s">
        <v>2260</v>
      </c>
      <c r="C1267" s="7"/>
      <c r="D1267" s="12" t="s">
        <v>2261</v>
      </c>
      <c r="E1267" s="8" t="s">
        <v>82</v>
      </c>
      <c r="F1267" s="13">
        <v>1E-3</v>
      </c>
      <c r="G1267" s="12"/>
    </row>
    <row r="1268" spans="1:7" x14ac:dyDescent="0.25">
      <c r="A1268" s="7" t="s">
        <v>2226</v>
      </c>
      <c r="B1268" s="7" t="s">
        <v>2260</v>
      </c>
      <c r="C1268" s="7"/>
      <c r="D1268" s="12" t="s">
        <v>2262</v>
      </c>
      <c r="E1268" s="8" t="s">
        <v>82</v>
      </c>
      <c r="F1268" s="13">
        <v>1E-3</v>
      </c>
      <c r="G1268" s="12"/>
    </row>
    <row r="1269" spans="1:7" x14ac:dyDescent="0.25">
      <c r="A1269" s="7" t="s">
        <v>2263</v>
      </c>
      <c r="B1269" s="7" t="s">
        <v>2264</v>
      </c>
      <c r="C1269" s="7"/>
      <c r="D1269" s="12" t="s">
        <v>2265</v>
      </c>
      <c r="E1269" s="8" t="s">
        <v>82</v>
      </c>
      <c r="F1269" s="13">
        <v>0.01</v>
      </c>
      <c r="G1269" s="12"/>
    </row>
    <row r="1270" spans="1:7" x14ac:dyDescent="0.25">
      <c r="A1270" s="7" t="s">
        <v>2263</v>
      </c>
      <c r="B1270" s="7" t="s">
        <v>2264</v>
      </c>
      <c r="C1270" s="7"/>
      <c r="D1270" s="12" t="s">
        <v>2266</v>
      </c>
      <c r="E1270" s="8" t="s">
        <v>82</v>
      </c>
      <c r="F1270" s="13">
        <v>1E-3</v>
      </c>
      <c r="G1270" s="12"/>
    </row>
    <row r="1271" spans="1:7" x14ac:dyDescent="0.25">
      <c r="A1271" s="7" t="s">
        <v>2263</v>
      </c>
      <c r="B1271" s="7" t="s">
        <v>2264</v>
      </c>
      <c r="C1271" s="7"/>
      <c r="D1271" s="12" t="s">
        <v>2267</v>
      </c>
      <c r="E1271" s="8" t="s">
        <v>82</v>
      </c>
      <c r="F1271" s="13">
        <v>1E-3</v>
      </c>
      <c r="G1271" s="12"/>
    </row>
    <row r="1272" spans="1:7" x14ac:dyDescent="0.25">
      <c r="A1272" s="7" t="s">
        <v>2263</v>
      </c>
      <c r="B1272" s="7" t="s">
        <v>2268</v>
      </c>
      <c r="C1272" s="7"/>
      <c r="D1272" s="12" t="s">
        <v>2269</v>
      </c>
      <c r="E1272" s="8" t="s">
        <v>82</v>
      </c>
      <c r="F1272" s="13">
        <v>4.0000000000000001E-3</v>
      </c>
      <c r="G1272" s="12"/>
    </row>
    <row r="1273" spans="1:7" x14ac:dyDescent="0.25">
      <c r="A1273" s="7" t="s">
        <v>2263</v>
      </c>
      <c r="B1273" s="7" t="s">
        <v>2268</v>
      </c>
      <c r="C1273" s="7"/>
      <c r="D1273" s="12" t="s">
        <v>2270</v>
      </c>
      <c r="E1273" s="8" t="s">
        <v>82</v>
      </c>
      <c r="F1273" s="13">
        <v>1E-3</v>
      </c>
      <c r="G1273" s="12"/>
    </row>
    <row r="1274" spans="1:7" ht="25.5" x14ac:dyDescent="0.25">
      <c r="A1274" s="7" t="s">
        <v>2263</v>
      </c>
      <c r="B1274" s="7" t="s">
        <v>2268</v>
      </c>
      <c r="C1274" s="7"/>
      <c r="D1274" s="12" t="s">
        <v>2271</v>
      </c>
      <c r="E1274" s="8" t="s">
        <v>82</v>
      </c>
      <c r="F1274" s="13">
        <v>1E-3</v>
      </c>
      <c r="G1274" s="12"/>
    </row>
    <row r="1275" spans="1:7" x14ac:dyDescent="0.25">
      <c r="A1275" s="7" t="s">
        <v>2263</v>
      </c>
      <c r="B1275" s="7" t="s">
        <v>2268</v>
      </c>
      <c r="C1275" s="7"/>
      <c r="D1275" s="12" t="s">
        <v>2272</v>
      </c>
      <c r="E1275" s="8" t="s">
        <v>82</v>
      </c>
      <c r="F1275" s="13">
        <v>1E-3</v>
      </c>
      <c r="G1275" s="12"/>
    </row>
    <row r="1276" spans="1:7" x14ac:dyDescent="0.25">
      <c r="A1276" s="7" t="s">
        <v>2263</v>
      </c>
      <c r="B1276" s="7" t="s">
        <v>2268</v>
      </c>
      <c r="C1276" s="7"/>
      <c r="D1276" s="12" t="s">
        <v>2273</v>
      </c>
      <c r="E1276" s="8" t="s">
        <v>82</v>
      </c>
      <c r="F1276" s="13">
        <v>1E-3</v>
      </c>
      <c r="G1276" s="12"/>
    </row>
    <row r="1277" spans="1:7" x14ac:dyDescent="0.25">
      <c r="A1277" s="7" t="s">
        <v>2263</v>
      </c>
      <c r="B1277" s="7" t="s">
        <v>2274</v>
      </c>
      <c r="C1277" s="7"/>
      <c r="D1277" s="12" t="s">
        <v>2275</v>
      </c>
      <c r="E1277" s="8" t="s">
        <v>82</v>
      </c>
      <c r="F1277" s="13">
        <v>3.0000000000000001E-3</v>
      </c>
      <c r="G1277" s="12"/>
    </row>
    <row r="1278" spans="1:7" x14ac:dyDescent="0.25">
      <c r="A1278" s="7" t="s">
        <v>2263</v>
      </c>
      <c r="B1278" s="7" t="s">
        <v>2274</v>
      </c>
      <c r="C1278" s="7"/>
      <c r="D1278" s="12" t="s">
        <v>2276</v>
      </c>
      <c r="E1278" s="8" t="s">
        <v>82</v>
      </c>
      <c r="F1278" s="13">
        <v>3.0000000000000001E-3</v>
      </c>
      <c r="G1278" s="12"/>
    </row>
    <row r="1279" spans="1:7" x14ac:dyDescent="0.25">
      <c r="A1279" s="7" t="s">
        <v>2263</v>
      </c>
      <c r="B1279" s="7" t="s">
        <v>2274</v>
      </c>
      <c r="C1279" s="7"/>
      <c r="D1279" s="12" t="s">
        <v>2277</v>
      </c>
      <c r="E1279" s="8" t="s">
        <v>82</v>
      </c>
      <c r="F1279" s="13">
        <v>1E-3</v>
      </c>
      <c r="G1279" s="12"/>
    </row>
    <row r="1280" spans="1:7" x14ac:dyDescent="0.25">
      <c r="A1280" s="7" t="s">
        <v>2263</v>
      </c>
      <c r="B1280" s="7" t="s">
        <v>2274</v>
      </c>
      <c r="C1280" s="7"/>
      <c r="D1280" s="12" t="s">
        <v>2278</v>
      </c>
      <c r="E1280" s="8" t="s">
        <v>82</v>
      </c>
      <c r="F1280" s="13">
        <v>3.0000000000000001E-3</v>
      </c>
      <c r="G1280" s="12"/>
    </row>
    <row r="1281" spans="1:7" x14ac:dyDescent="0.25">
      <c r="A1281" s="7" t="s">
        <v>2263</v>
      </c>
      <c r="B1281" s="7" t="s">
        <v>2274</v>
      </c>
      <c r="C1281" s="7"/>
      <c r="D1281" s="12" t="s">
        <v>2279</v>
      </c>
      <c r="E1281" s="8" t="s">
        <v>82</v>
      </c>
      <c r="F1281" s="13">
        <v>3.0000000000000001E-3</v>
      </c>
      <c r="G1281" s="12"/>
    </row>
    <row r="1282" spans="1:7" x14ac:dyDescent="0.25">
      <c r="A1282" s="7" t="s">
        <v>2263</v>
      </c>
      <c r="B1282" s="7" t="s">
        <v>2274</v>
      </c>
      <c r="C1282" s="7"/>
      <c r="D1282" s="12" t="s">
        <v>2280</v>
      </c>
      <c r="E1282" s="8" t="s">
        <v>82</v>
      </c>
      <c r="F1282" s="13">
        <v>3.0000000000000001E-3</v>
      </c>
      <c r="G1282" s="12"/>
    </row>
    <row r="1283" spans="1:7" x14ac:dyDescent="0.25">
      <c r="A1283" s="7" t="s">
        <v>2263</v>
      </c>
      <c r="B1283" s="7" t="s">
        <v>2274</v>
      </c>
      <c r="C1283" s="7"/>
      <c r="D1283" s="12" t="s">
        <v>2281</v>
      </c>
      <c r="E1283" s="8" t="s">
        <v>82</v>
      </c>
      <c r="F1283" s="13">
        <v>1E-3</v>
      </c>
      <c r="G1283" s="12"/>
    </row>
    <row r="1284" spans="1:7" x14ac:dyDescent="0.25">
      <c r="A1284" s="7" t="s">
        <v>2263</v>
      </c>
      <c r="B1284" s="7" t="s">
        <v>2274</v>
      </c>
      <c r="C1284" s="7"/>
      <c r="D1284" s="12" t="s">
        <v>2282</v>
      </c>
      <c r="E1284" s="8" t="s">
        <v>82</v>
      </c>
      <c r="F1284" s="13">
        <v>1E-3</v>
      </c>
      <c r="G1284" s="12"/>
    </row>
    <row r="1285" spans="1:7" x14ac:dyDescent="0.25">
      <c r="A1285" s="7" t="s">
        <v>2263</v>
      </c>
      <c r="B1285" s="7" t="s">
        <v>2274</v>
      </c>
      <c r="C1285" s="7"/>
      <c r="D1285" s="12" t="s">
        <v>2283</v>
      </c>
      <c r="E1285" s="8" t="s">
        <v>82</v>
      </c>
      <c r="F1285" s="13">
        <v>1E-3</v>
      </c>
      <c r="G1285" s="12"/>
    </row>
    <row r="1286" spans="1:7" x14ac:dyDescent="0.25">
      <c r="A1286" s="7" t="s">
        <v>2263</v>
      </c>
      <c r="B1286" s="7" t="s">
        <v>2274</v>
      </c>
      <c r="C1286" s="7"/>
      <c r="D1286" s="12" t="s">
        <v>2284</v>
      </c>
      <c r="E1286" s="8" t="s">
        <v>82</v>
      </c>
      <c r="F1286" s="13">
        <v>1.2999999999999999E-2</v>
      </c>
      <c r="G1286" s="12"/>
    </row>
    <row r="1287" spans="1:7" x14ac:dyDescent="0.25">
      <c r="A1287" s="7" t="s">
        <v>2263</v>
      </c>
      <c r="B1287" s="7" t="s">
        <v>2274</v>
      </c>
      <c r="C1287" s="7"/>
      <c r="D1287" s="12" t="s">
        <v>2285</v>
      </c>
      <c r="E1287" s="8" t="s">
        <v>82</v>
      </c>
      <c r="F1287" s="13">
        <v>3.3000000000000002E-2</v>
      </c>
      <c r="G1287" s="12"/>
    </row>
    <row r="1288" spans="1:7" x14ac:dyDescent="0.25">
      <c r="A1288" s="7" t="s">
        <v>2263</v>
      </c>
      <c r="B1288" s="7" t="s">
        <v>2274</v>
      </c>
      <c r="C1288" s="7"/>
      <c r="D1288" s="12" t="s">
        <v>2286</v>
      </c>
      <c r="E1288" s="8" t="s">
        <v>82</v>
      </c>
      <c r="F1288" s="13">
        <v>2E-3</v>
      </c>
      <c r="G1288" s="12"/>
    </row>
    <row r="1289" spans="1:7" x14ac:dyDescent="0.25">
      <c r="A1289" s="7" t="s">
        <v>2263</v>
      </c>
      <c r="B1289" s="7" t="s">
        <v>2274</v>
      </c>
      <c r="C1289" s="7"/>
      <c r="D1289" s="12" t="s">
        <v>2287</v>
      </c>
      <c r="E1289" s="8" t="s">
        <v>82</v>
      </c>
      <c r="F1289" s="13">
        <v>2.3E-2</v>
      </c>
      <c r="G1289" s="12"/>
    </row>
    <row r="1290" spans="1:7" x14ac:dyDescent="0.25">
      <c r="A1290" s="7" t="s">
        <v>2263</v>
      </c>
      <c r="B1290" s="7" t="s">
        <v>2274</v>
      </c>
      <c r="C1290" s="7"/>
      <c r="D1290" s="12" t="s">
        <v>2288</v>
      </c>
      <c r="E1290" s="8" t="s">
        <v>82</v>
      </c>
      <c r="F1290" s="13">
        <v>4.0000000000000001E-3</v>
      </c>
      <c r="G1290" s="12"/>
    </row>
    <row r="1291" spans="1:7" x14ac:dyDescent="0.25">
      <c r="A1291" s="7" t="s">
        <v>2263</v>
      </c>
      <c r="B1291" s="7" t="s">
        <v>2274</v>
      </c>
      <c r="C1291" s="7"/>
      <c r="D1291" s="12" t="s">
        <v>2289</v>
      </c>
      <c r="E1291" s="8" t="s">
        <v>82</v>
      </c>
      <c r="F1291" s="13">
        <v>3.0000000000000001E-3</v>
      </c>
      <c r="G1291" s="12"/>
    </row>
    <row r="1292" spans="1:7" x14ac:dyDescent="0.25">
      <c r="A1292" s="7" t="s">
        <v>2263</v>
      </c>
      <c r="B1292" s="7" t="s">
        <v>2274</v>
      </c>
      <c r="C1292" s="7"/>
      <c r="D1292" s="12" t="s">
        <v>2290</v>
      </c>
      <c r="E1292" s="8" t="s">
        <v>82</v>
      </c>
      <c r="F1292" s="13">
        <v>3.9E-2</v>
      </c>
      <c r="G1292" s="12"/>
    </row>
    <row r="1293" spans="1:7" x14ac:dyDescent="0.25">
      <c r="A1293" s="7" t="s">
        <v>2263</v>
      </c>
      <c r="B1293" s="7" t="s">
        <v>2274</v>
      </c>
      <c r="C1293" s="7"/>
      <c r="D1293" s="12" t="s">
        <v>2291</v>
      </c>
      <c r="E1293" s="8" t="s">
        <v>82</v>
      </c>
      <c r="F1293" s="13">
        <v>3.0000000000000001E-3</v>
      </c>
      <c r="G1293" s="12"/>
    </row>
    <row r="1294" spans="1:7" x14ac:dyDescent="0.25">
      <c r="A1294" s="7" t="s">
        <v>2263</v>
      </c>
      <c r="B1294" s="7" t="s">
        <v>2274</v>
      </c>
      <c r="C1294" s="7"/>
      <c r="D1294" s="12" t="s">
        <v>2292</v>
      </c>
      <c r="E1294" s="8" t="s">
        <v>82</v>
      </c>
      <c r="F1294" s="13">
        <v>0.03</v>
      </c>
      <c r="G1294" s="12"/>
    </row>
    <row r="1295" spans="1:7" x14ac:dyDescent="0.25">
      <c r="A1295" s="7" t="s">
        <v>2263</v>
      </c>
      <c r="B1295" s="7" t="s">
        <v>2274</v>
      </c>
      <c r="C1295" s="7"/>
      <c r="D1295" s="12" t="s">
        <v>2293</v>
      </c>
      <c r="E1295" s="8" t="s">
        <v>82</v>
      </c>
      <c r="F1295" s="13">
        <v>3.2000000000000001E-2</v>
      </c>
      <c r="G1295" s="12"/>
    </row>
    <row r="1296" spans="1:7" x14ac:dyDescent="0.25">
      <c r="A1296" s="7" t="s">
        <v>2263</v>
      </c>
      <c r="B1296" s="7" t="s">
        <v>2274</v>
      </c>
      <c r="C1296" s="7"/>
      <c r="D1296" s="12" t="s">
        <v>2294</v>
      </c>
      <c r="E1296" s="8" t="s">
        <v>82</v>
      </c>
      <c r="F1296" s="13">
        <v>1.9E-2</v>
      </c>
      <c r="G1296" s="12"/>
    </row>
    <row r="1297" spans="1:7" x14ac:dyDescent="0.25">
      <c r="A1297" s="7" t="s">
        <v>2263</v>
      </c>
      <c r="B1297" s="7" t="s">
        <v>2295</v>
      </c>
      <c r="C1297" s="7"/>
      <c r="D1297" s="12" t="s">
        <v>2296</v>
      </c>
      <c r="E1297" s="8" t="s">
        <v>82</v>
      </c>
      <c r="F1297" s="13">
        <v>4.0000000000000001E-3</v>
      </c>
      <c r="G1297" s="12"/>
    </row>
    <row r="1298" spans="1:7" x14ac:dyDescent="0.25">
      <c r="A1298" s="7" t="s">
        <v>2263</v>
      </c>
      <c r="B1298" s="7" t="s">
        <v>2295</v>
      </c>
      <c r="C1298" s="7"/>
      <c r="D1298" s="12" t="s">
        <v>2297</v>
      </c>
      <c r="E1298" s="8" t="s">
        <v>82</v>
      </c>
      <c r="F1298" s="13">
        <v>8.9999999999999993E-3</v>
      </c>
      <c r="G1298" s="12"/>
    </row>
    <row r="1299" spans="1:7" x14ac:dyDescent="0.25">
      <c r="A1299" s="7" t="s">
        <v>2263</v>
      </c>
      <c r="B1299" s="7" t="s">
        <v>2295</v>
      </c>
      <c r="C1299" s="7"/>
      <c r="D1299" s="12" t="s">
        <v>2298</v>
      </c>
      <c r="E1299" s="8" t="s">
        <v>82</v>
      </c>
      <c r="F1299" s="13">
        <v>1.7000000000000001E-2</v>
      </c>
      <c r="G1299" s="12"/>
    </row>
    <row r="1300" spans="1:7" x14ac:dyDescent="0.25">
      <c r="A1300" s="7" t="s">
        <v>2263</v>
      </c>
      <c r="B1300" s="7" t="s">
        <v>2295</v>
      </c>
      <c r="C1300" s="7"/>
      <c r="D1300" s="12" t="s">
        <v>2299</v>
      </c>
      <c r="E1300" s="8" t="s">
        <v>82</v>
      </c>
      <c r="F1300" s="13">
        <v>3.5000000000000003E-2</v>
      </c>
      <c r="G1300" s="12"/>
    </row>
    <row r="1301" spans="1:7" x14ac:dyDescent="0.25">
      <c r="A1301" s="7" t="s">
        <v>2263</v>
      </c>
      <c r="B1301" s="7" t="s">
        <v>2295</v>
      </c>
      <c r="C1301" s="7"/>
      <c r="D1301" s="12" t="s">
        <v>2300</v>
      </c>
      <c r="E1301" s="8" t="s">
        <v>82</v>
      </c>
      <c r="F1301" s="13">
        <v>1.0999999999999999E-2</v>
      </c>
      <c r="G1301" s="12"/>
    </row>
    <row r="1302" spans="1:7" x14ac:dyDescent="0.25">
      <c r="A1302" s="7" t="s">
        <v>2263</v>
      </c>
      <c r="B1302" s="7" t="s">
        <v>2295</v>
      </c>
      <c r="C1302" s="7"/>
      <c r="D1302" s="12" t="s">
        <v>2301</v>
      </c>
      <c r="E1302" s="8" t="s">
        <v>82</v>
      </c>
      <c r="F1302" s="13">
        <v>1E-3</v>
      </c>
      <c r="G1302" s="12"/>
    </row>
    <row r="1303" spans="1:7" x14ac:dyDescent="0.25">
      <c r="A1303" s="7" t="s">
        <v>2263</v>
      </c>
      <c r="B1303" s="7" t="s">
        <v>2302</v>
      </c>
      <c r="C1303" s="7"/>
      <c r="D1303" s="12" t="s">
        <v>2303</v>
      </c>
      <c r="E1303" s="8" t="s">
        <v>82</v>
      </c>
      <c r="F1303" s="13">
        <v>5.3999999999999999E-2</v>
      </c>
      <c r="G1303" s="12"/>
    </row>
    <row r="1304" spans="1:7" x14ac:dyDescent="0.25">
      <c r="A1304" s="7" t="s">
        <v>2263</v>
      </c>
      <c r="B1304" s="7" t="s">
        <v>2302</v>
      </c>
      <c r="C1304" s="7"/>
      <c r="D1304" s="12" t="s">
        <v>2304</v>
      </c>
      <c r="E1304" s="8" t="s">
        <v>82</v>
      </c>
      <c r="F1304" s="13">
        <v>2E-3</v>
      </c>
      <c r="G1304" s="12"/>
    </row>
    <row r="1305" spans="1:7" x14ac:dyDescent="0.25">
      <c r="A1305" s="7" t="s">
        <v>2263</v>
      </c>
      <c r="B1305" s="7" t="s">
        <v>2302</v>
      </c>
      <c r="C1305" s="7"/>
      <c r="D1305" s="12" t="s">
        <v>2305</v>
      </c>
      <c r="E1305" s="8" t="s">
        <v>82</v>
      </c>
      <c r="F1305" s="13">
        <v>1.4E-2</v>
      </c>
      <c r="G1305" s="12"/>
    </row>
    <row r="1306" spans="1:7" x14ac:dyDescent="0.25">
      <c r="A1306" s="7" t="s">
        <v>2263</v>
      </c>
      <c r="B1306" s="7" t="s">
        <v>2302</v>
      </c>
      <c r="C1306" s="7"/>
      <c r="D1306" s="12" t="s">
        <v>2306</v>
      </c>
      <c r="E1306" s="8" t="s">
        <v>82</v>
      </c>
      <c r="F1306" s="13">
        <v>4.9000000000000002E-2</v>
      </c>
      <c r="G1306" s="12"/>
    </row>
    <row r="1307" spans="1:7" x14ac:dyDescent="0.25">
      <c r="A1307" s="7" t="s">
        <v>2307</v>
      </c>
      <c r="B1307" s="7" t="s">
        <v>2308</v>
      </c>
      <c r="C1307" s="7"/>
      <c r="D1307" s="12" t="s">
        <v>2309</v>
      </c>
      <c r="E1307" s="8" t="s">
        <v>82</v>
      </c>
      <c r="F1307" s="13">
        <v>3.0000000000000001E-3</v>
      </c>
      <c r="G1307" s="12"/>
    </row>
    <row r="1308" spans="1:7" x14ac:dyDescent="0.25">
      <c r="A1308" s="7" t="s">
        <v>2307</v>
      </c>
      <c r="B1308" s="7" t="s">
        <v>2308</v>
      </c>
      <c r="C1308" s="7"/>
      <c r="D1308" s="12" t="s">
        <v>2310</v>
      </c>
      <c r="E1308" s="8" t="s">
        <v>82</v>
      </c>
      <c r="F1308" s="13">
        <v>2E-3</v>
      </c>
      <c r="G1308" s="12"/>
    </row>
    <row r="1309" spans="1:7" x14ac:dyDescent="0.25">
      <c r="A1309" s="7" t="s">
        <v>2307</v>
      </c>
      <c r="B1309" s="7" t="s">
        <v>2308</v>
      </c>
      <c r="C1309" s="7"/>
      <c r="D1309" s="12" t="s">
        <v>2311</v>
      </c>
      <c r="E1309" s="8" t="s">
        <v>82</v>
      </c>
      <c r="F1309" s="13">
        <v>1E-3</v>
      </c>
      <c r="G1309" s="12"/>
    </row>
    <row r="1310" spans="1:7" x14ac:dyDescent="0.25">
      <c r="A1310" s="7" t="s">
        <v>2307</v>
      </c>
      <c r="B1310" s="7" t="s">
        <v>2308</v>
      </c>
      <c r="C1310" s="7"/>
      <c r="D1310" s="12" t="s">
        <v>2312</v>
      </c>
      <c r="E1310" s="8" t="s">
        <v>82</v>
      </c>
      <c r="F1310" s="13">
        <v>1E-3</v>
      </c>
      <c r="G1310" s="12"/>
    </row>
    <row r="1311" spans="1:7" x14ac:dyDescent="0.25">
      <c r="A1311" s="7" t="s">
        <v>2307</v>
      </c>
      <c r="B1311" s="7" t="s">
        <v>2308</v>
      </c>
      <c r="C1311" s="7"/>
      <c r="D1311" s="12" t="s">
        <v>2313</v>
      </c>
      <c r="E1311" s="8" t="s">
        <v>82</v>
      </c>
      <c r="F1311" s="13">
        <v>2E-3</v>
      </c>
      <c r="G1311" s="12"/>
    </row>
    <row r="1312" spans="1:7" x14ac:dyDescent="0.25">
      <c r="A1312" s="7" t="s">
        <v>2307</v>
      </c>
      <c r="B1312" s="7" t="s">
        <v>2308</v>
      </c>
      <c r="C1312" s="7"/>
      <c r="D1312" s="12" t="s">
        <v>2314</v>
      </c>
      <c r="E1312" s="8" t="s">
        <v>82</v>
      </c>
      <c r="F1312" s="13">
        <v>2E-3</v>
      </c>
      <c r="G1312" s="12"/>
    </row>
    <row r="1313" spans="1:7" x14ac:dyDescent="0.25">
      <c r="A1313" s="7" t="s">
        <v>2307</v>
      </c>
      <c r="B1313" s="7" t="s">
        <v>2308</v>
      </c>
      <c r="C1313" s="7"/>
      <c r="D1313" s="12" t="s">
        <v>2315</v>
      </c>
      <c r="E1313" s="8" t="s">
        <v>82</v>
      </c>
      <c r="F1313" s="13">
        <v>2E-3</v>
      </c>
      <c r="G1313" s="12"/>
    </row>
    <row r="1314" spans="1:7" x14ac:dyDescent="0.25">
      <c r="A1314" s="7" t="s">
        <v>2307</v>
      </c>
      <c r="B1314" s="7" t="s">
        <v>2308</v>
      </c>
      <c r="C1314" s="7"/>
      <c r="D1314" s="12" t="s">
        <v>2316</v>
      </c>
      <c r="E1314" s="8" t="s">
        <v>82</v>
      </c>
      <c r="F1314" s="13">
        <v>1E-3</v>
      </c>
      <c r="G1314" s="12"/>
    </row>
    <row r="1315" spans="1:7" x14ac:dyDescent="0.25">
      <c r="A1315" s="7" t="s">
        <v>2317</v>
      </c>
      <c r="B1315" s="7" t="s">
        <v>2318</v>
      </c>
      <c r="C1315" s="7"/>
      <c r="D1315" s="12" t="s">
        <v>2319</v>
      </c>
      <c r="E1315" s="8" t="s">
        <v>82</v>
      </c>
      <c r="F1315" s="13">
        <v>2E-3</v>
      </c>
      <c r="G1315" s="12"/>
    </row>
    <row r="1316" spans="1:7" x14ac:dyDescent="0.25">
      <c r="A1316" s="7" t="s">
        <v>2317</v>
      </c>
      <c r="B1316" s="7" t="s">
        <v>2318</v>
      </c>
      <c r="C1316" s="7"/>
      <c r="D1316" s="12" t="s">
        <v>2320</v>
      </c>
      <c r="E1316" s="8" t="s">
        <v>82</v>
      </c>
      <c r="F1316" s="13">
        <v>1E-3</v>
      </c>
      <c r="G1316" s="12"/>
    </row>
    <row r="1317" spans="1:7" x14ac:dyDescent="0.25">
      <c r="A1317" s="7" t="s">
        <v>2317</v>
      </c>
      <c r="B1317" s="7" t="s">
        <v>2318</v>
      </c>
      <c r="C1317" s="7"/>
      <c r="D1317" s="12" t="s">
        <v>2321</v>
      </c>
      <c r="E1317" s="8" t="s">
        <v>82</v>
      </c>
      <c r="F1317" s="13">
        <v>1E-3</v>
      </c>
      <c r="G1317" s="12"/>
    </row>
    <row r="1318" spans="1:7" x14ac:dyDescent="0.25">
      <c r="A1318" s="7" t="s">
        <v>2317</v>
      </c>
      <c r="B1318" s="7" t="s">
        <v>2318</v>
      </c>
      <c r="C1318" s="7"/>
      <c r="D1318" s="12" t="s">
        <v>2322</v>
      </c>
      <c r="E1318" s="8" t="s">
        <v>82</v>
      </c>
      <c r="F1318" s="13">
        <v>1E-3</v>
      </c>
      <c r="G1318" s="12"/>
    </row>
    <row r="1319" spans="1:7" x14ac:dyDescent="0.25">
      <c r="A1319" s="7" t="s">
        <v>2317</v>
      </c>
      <c r="B1319" s="7" t="s">
        <v>2318</v>
      </c>
      <c r="C1319" s="7"/>
      <c r="D1319" s="12" t="s">
        <v>2323</v>
      </c>
      <c r="E1319" s="8" t="s">
        <v>82</v>
      </c>
      <c r="F1319" s="13">
        <v>1E-3</v>
      </c>
      <c r="G1319" s="12"/>
    </row>
    <row r="1320" spans="1:7" x14ac:dyDescent="0.25">
      <c r="A1320" s="7" t="s">
        <v>2317</v>
      </c>
      <c r="B1320" s="7" t="s">
        <v>2318</v>
      </c>
      <c r="C1320" s="7"/>
      <c r="D1320" s="12" t="s">
        <v>2324</v>
      </c>
      <c r="E1320" s="8" t="s">
        <v>82</v>
      </c>
      <c r="F1320" s="13">
        <v>2E-3</v>
      </c>
      <c r="G1320" s="12"/>
    </row>
    <row r="1321" spans="1:7" x14ac:dyDescent="0.25">
      <c r="A1321" s="7" t="s">
        <v>2317</v>
      </c>
      <c r="B1321" s="7" t="s">
        <v>2318</v>
      </c>
      <c r="C1321" s="7"/>
      <c r="D1321" s="12" t="s">
        <v>2325</v>
      </c>
      <c r="E1321" s="8" t="s">
        <v>82</v>
      </c>
      <c r="F1321" s="13">
        <v>2E-3</v>
      </c>
      <c r="G1321" s="12"/>
    </row>
    <row r="1322" spans="1:7" x14ac:dyDescent="0.25">
      <c r="A1322" s="7" t="s">
        <v>2317</v>
      </c>
      <c r="B1322" s="7" t="s">
        <v>2318</v>
      </c>
      <c r="C1322" s="7"/>
      <c r="D1322" s="12" t="s">
        <v>2326</v>
      </c>
      <c r="E1322" s="8" t="s">
        <v>82</v>
      </c>
      <c r="F1322" s="13">
        <v>1E-3</v>
      </c>
      <c r="G1322" s="12"/>
    </row>
    <row r="1323" spans="1:7" x14ac:dyDescent="0.25">
      <c r="A1323" s="7" t="s">
        <v>2317</v>
      </c>
      <c r="B1323" s="7" t="s">
        <v>2318</v>
      </c>
      <c r="C1323" s="7"/>
      <c r="D1323" s="12" t="s">
        <v>2327</v>
      </c>
      <c r="E1323" s="8" t="s">
        <v>82</v>
      </c>
      <c r="F1323" s="13">
        <v>1E-3</v>
      </c>
      <c r="G1323" s="12"/>
    </row>
    <row r="1324" spans="1:7" x14ac:dyDescent="0.25">
      <c r="A1324" s="7" t="s">
        <v>2317</v>
      </c>
      <c r="B1324" s="7" t="s">
        <v>2318</v>
      </c>
      <c r="C1324" s="7"/>
      <c r="D1324" s="12" t="s">
        <v>2328</v>
      </c>
      <c r="E1324" s="8" t="s">
        <v>82</v>
      </c>
      <c r="F1324" s="13">
        <v>2E-3</v>
      </c>
      <c r="G1324" s="12"/>
    </row>
    <row r="1325" spans="1:7" x14ac:dyDescent="0.25">
      <c r="A1325" s="7" t="s">
        <v>2317</v>
      </c>
      <c r="B1325" s="7" t="s">
        <v>2318</v>
      </c>
      <c r="C1325" s="7"/>
      <c r="D1325" s="12" t="s">
        <v>2329</v>
      </c>
      <c r="E1325" s="8" t="s">
        <v>82</v>
      </c>
      <c r="F1325" s="13">
        <v>2E-3</v>
      </c>
      <c r="G1325" s="12"/>
    </row>
    <row r="1326" spans="1:7" x14ac:dyDescent="0.25">
      <c r="A1326" s="7" t="s">
        <v>2317</v>
      </c>
      <c r="B1326" s="7" t="s">
        <v>2318</v>
      </c>
      <c r="C1326" s="7"/>
      <c r="D1326" s="12" t="s">
        <v>2330</v>
      </c>
      <c r="E1326" s="8" t="s">
        <v>82</v>
      </c>
      <c r="F1326" s="13">
        <v>1E-3</v>
      </c>
      <c r="G1326" s="12"/>
    </row>
    <row r="1327" spans="1:7" x14ac:dyDescent="0.25">
      <c r="A1327" s="7" t="s">
        <v>2317</v>
      </c>
      <c r="B1327" s="7" t="s">
        <v>2318</v>
      </c>
      <c r="C1327" s="7"/>
      <c r="D1327" s="12" t="s">
        <v>2331</v>
      </c>
      <c r="E1327" s="8" t="s">
        <v>82</v>
      </c>
      <c r="F1327" s="13">
        <v>1E-3</v>
      </c>
      <c r="G1327" s="12"/>
    </row>
    <row r="1328" spans="1:7" x14ac:dyDescent="0.25">
      <c r="A1328" s="7" t="s">
        <v>2317</v>
      </c>
      <c r="B1328" s="7" t="s">
        <v>2318</v>
      </c>
      <c r="C1328" s="7"/>
      <c r="D1328" s="12" t="s">
        <v>2332</v>
      </c>
      <c r="E1328" s="8" t="s">
        <v>82</v>
      </c>
      <c r="F1328" s="13">
        <v>1E-3</v>
      </c>
      <c r="G1328" s="12"/>
    </row>
    <row r="1329" spans="1:7" x14ac:dyDescent="0.25">
      <c r="A1329" s="7" t="s">
        <v>2317</v>
      </c>
      <c r="B1329" s="7" t="s">
        <v>2333</v>
      </c>
      <c r="C1329" s="7"/>
      <c r="D1329" s="12" t="s">
        <v>2334</v>
      </c>
      <c r="E1329" s="8" t="s">
        <v>82</v>
      </c>
      <c r="F1329" s="13">
        <v>1E-3</v>
      </c>
      <c r="G1329" s="12"/>
    </row>
    <row r="1330" spans="1:7" x14ac:dyDescent="0.25">
      <c r="A1330" s="7" t="s">
        <v>2317</v>
      </c>
      <c r="B1330" s="7" t="s">
        <v>2333</v>
      </c>
      <c r="C1330" s="7"/>
      <c r="D1330" s="12" t="s">
        <v>2335</v>
      </c>
      <c r="E1330" s="8" t="s">
        <v>82</v>
      </c>
      <c r="F1330" s="13">
        <v>1E-3</v>
      </c>
      <c r="G1330" s="12"/>
    </row>
    <row r="1331" spans="1:7" x14ac:dyDescent="0.25">
      <c r="A1331" s="7" t="s">
        <v>2317</v>
      </c>
      <c r="B1331" s="7" t="s">
        <v>2333</v>
      </c>
      <c r="C1331" s="7"/>
      <c r="D1331" s="12" t="s">
        <v>2336</v>
      </c>
      <c r="E1331" s="8" t="s">
        <v>82</v>
      </c>
      <c r="F1331" s="13">
        <v>1E-3</v>
      </c>
      <c r="G1331" s="12"/>
    </row>
    <row r="1332" spans="1:7" x14ac:dyDescent="0.25">
      <c r="A1332" s="7" t="s">
        <v>2317</v>
      </c>
      <c r="B1332" s="7" t="s">
        <v>2333</v>
      </c>
      <c r="C1332" s="7"/>
      <c r="D1332" s="12" t="s">
        <v>2337</v>
      </c>
      <c r="E1332" s="8" t="s">
        <v>82</v>
      </c>
      <c r="F1332" s="13">
        <v>1E-3</v>
      </c>
      <c r="G1332" s="12"/>
    </row>
    <row r="1333" spans="1:7" x14ac:dyDescent="0.25">
      <c r="A1333" s="7" t="s">
        <v>2317</v>
      </c>
      <c r="B1333" s="7" t="s">
        <v>2333</v>
      </c>
      <c r="C1333" s="7"/>
      <c r="D1333" s="12" t="s">
        <v>2338</v>
      </c>
      <c r="E1333" s="8" t="s">
        <v>82</v>
      </c>
      <c r="F1333" s="13">
        <v>1E-3</v>
      </c>
      <c r="G1333" s="12"/>
    </row>
    <row r="1334" spans="1:7" x14ac:dyDescent="0.25">
      <c r="A1334" s="7" t="s">
        <v>2317</v>
      </c>
      <c r="B1334" s="7" t="s">
        <v>2333</v>
      </c>
      <c r="C1334" s="7"/>
      <c r="D1334" s="12" t="s">
        <v>2339</v>
      </c>
      <c r="E1334" s="8" t="s">
        <v>82</v>
      </c>
      <c r="F1334" s="13">
        <v>1E-3</v>
      </c>
      <c r="G1334" s="12"/>
    </row>
    <row r="1335" spans="1:7" x14ac:dyDescent="0.25">
      <c r="A1335" s="7" t="s">
        <v>2317</v>
      </c>
      <c r="B1335" s="7" t="s">
        <v>2340</v>
      </c>
      <c r="C1335" s="7"/>
      <c r="D1335" s="12" t="s">
        <v>2341</v>
      </c>
      <c r="E1335" s="8" t="s">
        <v>82</v>
      </c>
      <c r="F1335" s="13">
        <v>1E-3</v>
      </c>
      <c r="G1335" s="12"/>
    </row>
    <row r="1336" spans="1:7" x14ac:dyDescent="0.25">
      <c r="A1336" s="7" t="s">
        <v>2317</v>
      </c>
      <c r="B1336" s="7" t="s">
        <v>2340</v>
      </c>
      <c r="C1336" s="7"/>
      <c r="D1336" s="12" t="s">
        <v>2342</v>
      </c>
      <c r="E1336" s="8" t="s">
        <v>82</v>
      </c>
      <c r="F1336" s="13">
        <v>1E-3</v>
      </c>
      <c r="G1336" s="12"/>
    </row>
    <row r="1337" spans="1:7" x14ac:dyDescent="0.25">
      <c r="A1337" s="7" t="s">
        <v>2317</v>
      </c>
      <c r="B1337" s="7" t="s">
        <v>2340</v>
      </c>
      <c r="C1337" s="7"/>
      <c r="D1337" s="12" t="s">
        <v>2343</v>
      </c>
      <c r="E1337" s="8" t="s">
        <v>82</v>
      </c>
      <c r="F1337" s="13">
        <v>1E-3</v>
      </c>
      <c r="G1337" s="12"/>
    </row>
    <row r="1338" spans="1:7" x14ac:dyDescent="0.25">
      <c r="A1338" s="7" t="s">
        <v>2317</v>
      </c>
      <c r="B1338" s="7" t="s">
        <v>2344</v>
      </c>
      <c r="C1338" s="7"/>
      <c r="D1338" s="12" t="s">
        <v>2345</v>
      </c>
      <c r="E1338" s="8" t="s">
        <v>82</v>
      </c>
      <c r="F1338" s="13">
        <v>1E-3</v>
      </c>
      <c r="G1338" s="12"/>
    </row>
    <row r="1339" spans="1:7" x14ac:dyDescent="0.25">
      <c r="A1339" s="7" t="s">
        <v>2317</v>
      </c>
      <c r="B1339" s="7" t="s">
        <v>2344</v>
      </c>
      <c r="C1339" s="7"/>
      <c r="D1339" s="12" t="s">
        <v>2346</v>
      </c>
      <c r="E1339" s="8" t="s">
        <v>82</v>
      </c>
      <c r="F1339" s="13">
        <v>1E-3</v>
      </c>
      <c r="G1339" s="12"/>
    </row>
    <row r="1340" spans="1:7" x14ac:dyDescent="0.25">
      <c r="A1340" s="7" t="s">
        <v>2317</v>
      </c>
      <c r="B1340" s="7" t="s">
        <v>2344</v>
      </c>
      <c r="C1340" s="7"/>
      <c r="D1340" s="12" t="s">
        <v>2347</v>
      </c>
      <c r="E1340" s="8" t="s">
        <v>82</v>
      </c>
      <c r="F1340" s="13">
        <v>1E-3</v>
      </c>
      <c r="G1340" s="12"/>
    </row>
    <row r="1341" spans="1:7" x14ac:dyDescent="0.25">
      <c r="A1341" s="7" t="s">
        <v>2317</v>
      </c>
      <c r="B1341" s="7" t="s">
        <v>2344</v>
      </c>
      <c r="C1341" s="7"/>
      <c r="D1341" s="12" t="s">
        <v>2348</v>
      </c>
      <c r="E1341" s="8" t="s">
        <v>82</v>
      </c>
      <c r="F1341" s="13">
        <v>1E-3</v>
      </c>
      <c r="G1341" s="12"/>
    </row>
    <row r="1342" spans="1:7" x14ac:dyDescent="0.25">
      <c r="A1342" s="7" t="s">
        <v>2317</v>
      </c>
      <c r="B1342" s="7" t="s">
        <v>2344</v>
      </c>
      <c r="C1342" s="7"/>
      <c r="D1342" s="12" t="s">
        <v>2349</v>
      </c>
      <c r="E1342" s="8" t="s">
        <v>82</v>
      </c>
      <c r="F1342" s="13">
        <v>1E-3</v>
      </c>
      <c r="G1342" s="12"/>
    </row>
    <row r="1343" spans="1:7" x14ac:dyDescent="0.25">
      <c r="A1343" s="7" t="s">
        <v>2317</v>
      </c>
      <c r="B1343" s="7" t="s">
        <v>2344</v>
      </c>
      <c r="C1343" s="7"/>
      <c r="D1343" s="12" t="s">
        <v>2350</v>
      </c>
      <c r="E1343" s="8" t="s">
        <v>82</v>
      </c>
      <c r="F1343" s="13">
        <v>1E-3</v>
      </c>
      <c r="G1343" s="12"/>
    </row>
    <row r="1344" spans="1:7" x14ac:dyDescent="0.25">
      <c r="A1344" s="7" t="s">
        <v>2317</v>
      </c>
      <c r="B1344" s="7" t="s">
        <v>2344</v>
      </c>
      <c r="C1344" s="7"/>
      <c r="D1344" s="12" t="s">
        <v>2351</v>
      </c>
      <c r="E1344" s="8" t="s">
        <v>82</v>
      </c>
      <c r="F1344" s="13">
        <v>1E-3</v>
      </c>
      <c r="G1344" s="12"/>
    </row>
    <row r="1345" spans="1:7" x14ac:dyDescent="0.25">
      <c r="A1345" s="7" t="s">
        <v>2317</v>
      </c>
      <c r="B1345" s="7" t="s">
        <v>2344</v>
      </c>
      <c r="C1345" s="7"/>
      <c r="D1345" s="12" t="s">
        <v>2352</v>
      </c>
      <c r="E1345" s="8" t="s">
        <v>82</v>
      </c>
      <c r="F1345" s="13">
        <v>1E-3</v>
      </c>
      <c r="G1345" s="12"/>
    </row>
    <row r="1346" spans="1:7" x14ac:dyDescent="0.25">
      <c r="A1346" s="7" t="s">
        <v>2317</v>
      </c>
      <c r="B1346" s="7" t="s">
        <v>2344</v>
      </c>
      <c r="C1346" s="7"/>
      <c r="D1346" s="12" t="s">
        <v>2353</v>
      </c>
      <c r="E1346" s="8" t="s">
        <v>82</v>
      </c>
      <c r="F1346" s="13">
        <v>1E-3</v>
      </c>
      <c r="G1346" s="12"/>
    </row>
    <row r="1347" spans="1:7" x14ac:dyDescent="0.25">
      <c r="A1347" s="7" t="s">
        <v>2317</v>
      </c>
      <c r="B1347" s="7" t="s">
        <v>2354</v>
      </c>
      <c r="C1347" s="7"/>
      <c r="D1347" s="12" t="s">
        <v>2355</v>
      </c>
      <c r="E1347" s="8" t="s">
        <v>82</v>
      </c>
      <c r="F1347" s="13">
        <v>1E-3</v>
      </c>
      <c r="G1347" s="12"/>
    </row>
    <row r="1348" spans="1:7" x14ac:dyDescent="0.25">
      <c r="A1348" s="7" t="s">
        <v>2317</v>
      </c>
      <c r="B1348" s="7" t="s">
        <v>2354</v>
      </c>
      <c r="C1348" s="7"/>
      <c r="D1348" s="12" t="s">
        <v>2356</v>
      </c>
      <c r="E1348" s="8" t="s">
        <v>82</v>
      </c>
      <c r="F1348" s="13">
        <v>1E-3</v>
      </c>
      <c r="G1348" s="12"/>
    </row>
    <row r="1349" spans="1:7" x14ac:dyDescent="0.25">
      <c r="A1349" s="7" t="s">
        <v>2317</v>
      </c>
      <c r="B1349" s="7" t="s">
        <v>2354</v>
      </c>
      <c r="C1349" s="7"/>
      <c r="D1349" s="12" t="s">
        <v>2357</v>
      </c>
      <c r="E1349" s="8" t="s">
        <v>82</v>
      </c>
      <c r="F1349" s="13">
        <v>1E-3</v>
      </c>
      <c r="G1349" s="12"/>
    </row>
    <row r="1350" spans="1:7" x14ac:dyDescent="0.25">
      <c r="A1350" s="7" t="s">
        <v>2317</v>
      </c>
      <c r="B1350" s="7" t="s">
        <v>2354</v>
      </c>
      <c r="C1350" s="7"/>
      <c r="D1350" s="12" t="s">
        <v>2358</v>
      </c>
      <c r="E1350" s="8" t="s">
        <v>82</v>
      </c>
      <c r="F1350" s="13">
        <v>1E-3</v>
      </c>
      <c r="G1350" s="12"/>
    </row>
    <row r="1351" spans="1:7" x14ac:dyDescent="0.25">
      <c r="A1351" s="7" t="s">
        <v>2317</v>
      </c>
      <c r="B1351" s="7" t="s">
        <v>2354</v>
      </c>
      <c r="C1351" s="7"/>
      <c r="D1351" s="12" t="s">
        <v>2359</v>
      </c>
      <c r="E1351" s="8" t="s">
        <v>82</v>
      </c>
      <c r="F1351" s="13">
        <v>1E-3</v>
      </c>
      <c r="G1351" s="12"/>
    </row>
    <row r="1352" spans="1:7" x14ac:dyDescent="0.25">
      <c r="A1352" s="7" t="s">
        <v>2317</v>
      </c>
      <c r="B1352" s="7" t="s">
        <v>2354</v>
      </c>
      <c r="C1352" s="7"/>
      <c r="D1352" s="12" t="s">
        <v>2360</v>
      </c>
      <c r="E1352" s="8" t="s">
        <v>82</v>
      </c>
      <c r="F1352" s="13">
        <v>1E-3</v>
      </c>
      <c r="G1352" s="12"/>
    </row>
    <row r="1353" spans="1:7" x14ac:dyDescent="0.25">
      <c r="A1353" s="7" t="s">
        <v>2317</v>
      </c>
      <c r="B1353" s="7" t="s">
        <v>2361</v>
      </c>
      <c r="C1353" s="7"/>
      <c r="D1353" s="12" t="s">
        <v>2362</v>
      </c>
      <c r="E1353" s="8" t="s">
        <v>82</v>
      </c>
      <c r="F1353" s="13">
        <v>1E-3</v>
      </c>
      <c r="G1353" s="12"/>
    </row>
    <row r="1354" spans="1:7" x14ac:dyDescent="0.25">
      <c r="A1354" s="7" t="s">
        <v>2317</v>
      </c>
      <c r="B1354" s="7" t="s">
        <v>2361</v>
      </c>
      <c r="C1354" s="7"/>
      <c r="D1354" s="12" t="s">
        <v>2363</v>
      </c>
      <c r="E1354" s="8" t="s">
        <v>82</v>
      </c>
      <c r="F1354" s="13">
        <v>0.01</v>
      </c>
      <c r="G1354" s="12"/>
    </row>
    <row r="1355" spans="1:7" x14ac:dyDescent="0.25">
      <c r="A1355" s="7" t="s">
        <v>2317</v>
      </c>
      <c r="B1355" s="7" t="s">
        <v>2361</v>
      </c>
      <c r="C1355" s="7"/>
      <c r="D1355" s="12" t="s">
        <v>2364</v>
      </c>
      <c r="E1355" s="8" t="s">
        <v>82</v>
      </c>
      <c r="F1355" s="13">
        <v>1E-3</v>
      </c>
      <c r="G1355" s="12"/>
    </row>
    <row r="1356" spans="1:7" x14ac:dyDescent="0.25">
      <c r="A1356" s="7" t="s">
        <v>2317</v>
      </c>
      <c r="B1356" s="7" t="s">
        <v>2361</v>
      </c>
      <c r="C1356" s="7"/>
      <c r="D1356" s="12" t="s">
        <v>2365</v>
      </c>
      <c r="E1356" s="8" t="s">
        <v>82</v>
      </c>
      <c r="F1356" s="13">
        <v>1E-3</v>
      </c>
      <c r="G1356" s="12"/>
    </row>
    <row r="1357" spans="1:7" x14ac:dyDescent="0.25">
      <c r="A1357" s="7" t="s">
        <v>2317</v>
      </c>
      <c r="B1357" s="7" t="s">
        <v>2361</v>
      </c>
      <c r="C1357" s="7"/>
      <c r="D1357" s="12" t="s">
        <v>2366</v>
      </c>
      <c r="E1357" s="8" t="s">
        <v>82</v>
      </c>
      <c r="F1357" s="13">
        <v>1E-3</v>
      </c>
      <c r="G1357" s="12"/>
    </row>
    <row r="1358" spans="1:7" x14ac:dyDescent="0.25">
      <c r="A1358" s="7" t="s">
        <v>2317</v>
      </c>
      <c r="B1358" s="7" t="s">
        <v>2361</v>
      </c>
      <c r="C1358" s="7"/>
      <c r="D1358" s="12" t="s">
        <v>2367</v>
      </c>
      <c r="E1358" s="8" t="s">
        <v>82</v>
      </c>
      <c r="F1358" s="13">
        <v>1E-3</v>
      </c>
      <c r="G1358" s="12"/>
    </row>
    <row r="1359" spans="1:7" x14ac:dyDescent="0.25">
      <c r="A1359" s="7" t="s">
        <v>2317</v>
      </c>
      <c r="B1359" s="7" t="s">
        <v>2361</v>
      </c>
      <c r="C1359" s="7"/>
      <c r="D1359" s="12" t="s">
        <v>2368</v>
      </c>
      <c r="E1359" s="8" t="s">
        <v>82</v>
      </c>
      <c r="F1359" s="13">
        <v>1E-3</v>
      </c>
      <c r="G1359" s="12"/>
    </row>
    <row r="1360" spans="1:7" x14ac:dyDescent="0.25">
      <c r="A1360" s="7" t="s">
        <v>2317</v>
      </c>
      <c r="B1360" s="7" t="s">
        <v>2361</v>
      </c>
      <c r="C1360" s="7"/>
      <c r="D1360" s="12" t="s">
        <v>2369</v>
      </c>
      <c r="E1360" s="8" t="s">
        <v>82</v>
      </c>
      <c r="F1360" s="13">
        <v>1E-3</v>
      </c>
      <c r="G1360" s="12"/>
    </row>
    <row r="1361" spans="1:7" x14ac:dyDescent="0.25">
      <c r="A1361" s="7" t="s">
        <v>2317</v>
      </c>
      <c r="B1361" s="7" t="s">
        <v>2361</v>
      </c>
      <c r="C1361" s="7"/>
      <c r="D1361" s="12" t="s">
        <v>2370</v>
      </c>
      <c r="E1361" s="8" t="s">
        <v>82</v>
      </c>
      <c r="F1361" s="13">
        <v>1E-3</v>
      </c>
      <c r="G1361" s="12"/>
    </row>
    <row r="1362" spans="1:7" x14ac:dyDescent="0.25">
      <c r="A1362" s="7" t="s">
        <v>2317</v>
      </c>
      <c r="B1362" s="7" t="s">
        <v>2361</v>
      </c>
      <c r="C1362" s="7"/>
      <c r="D1362" s="12" t="s">
        <v>2371</v>
      </c>
      <c r="E1362" s="8" t="s">
        <v>82</v>
      </c>
      <c r="F1362" s="13">
        <v>1E-3</v>
      </c>
      <c r="G1362" s="12"/>
    </row>
    <row r="1363" spans="1:7" x14ac:dyDescent="0.25">
      <c r="A1363" s="7" t="s">
        <v>2317</v>
      </c>
      <c r="B1363" s="7" t="s">
        <v>2361</v>
      </c>
      <c r="C1363" s="7"/>
      <c r="D1363" s="12" t="s">
        <v>2372</v>
      </c>
      <c r="E1363" s="8" t="s">
        <v>82</v>
      </c>
      <c r="F1363" s="13">
        <v>1E-3</v>
      </c>
      <c r="G1363" s="12"/>
    </row>
    <row r="1364" spans="1:7" x14ac:dyDescent="0.25">
      <c r="A1364" s="7" t="s">
        <v>2317</v>
      </c>
      <c r="B1364" s="7" t="s">
        <v>2361</v>
      </c>
      <c r="C1364" s="7"/>
      <c r="D1364" s="12" t="s">
        <v>2373</v>
      </c>
      <c r="E1364" s="8" t="s">
        <v>82</v>
      </c>
      <c r="F1364" s="13">
        <v>1E-3</v>
      </c>
      <c r="G1364" s="12"/>
    </row>
    <row r="1365" spans="1:7" x14ac:dyDescent="0.25">
      <c r="A1365" s="7" t="s">
        <v>2317</v>
      </c>
      <c r="B1365" s="7" t="s">
        <v>2361</v>
      </c>
      <c r="C1365" s="7"/>
      <c r="D1365" s="12" t="s">
        <v>2374</v>
      </c>
      <c r="E1365" s="8" t="s">
        <v>82</v>
      </c>
      <c r="F1365" s="13">
        <v>1E-3</v>
      </c>
      <c r="G1365" s="12"/>
    </row>
    <row r="1366" spans="1:7" x14ac:dyDescent="0.25">
      <c r="A1366" s="7" t="s">
        <v>2317</v>
      </c>
      <c r="B1366" s="7" t="s">
        <v>2361</v>
      </c>
      <c r="C1366" s="7"/>
      <c r="D1366" s="12" t="s">
        <v>2375</v>
      </c>
      <c r="E1366" s="8" t="s">
        <v>82</v>
      </c>
      <c r="F1366" s="13">
        <v>1E-3</v>
      </c>
      <c r="G1366" s="12"/>
    </row>
    <row r="1367" spans="1:7" x14ac:dyDescent="0.25">
      <c r="A1367" s="7" t="s">
        <v>2376</v>
      </c>
      <c r="B1367" s="7" t="s">
        <v>2377</v>
      </c>
      <c r="C1367" s="7"/>
      <c r="D1367" s="12" t="s">
        <v>2378</v>
      </c>
      <c r="E1367" s="8" t="s">
        <v>82</v>
      </c>
      <c r="F1367" s="13">
        <v>0.88300000000000001</v>
      </c>
      <c r="G1367" s="12"/>
    </row>
    <row r="1368" spans="1:7" x14ac:dyDescent="0.25">
      <c r="A1368" s="7" t="s">
        <v>2376</v>
      </c>
      <c r="B1368" s="7" t="s">
        <v>2377</v>
      </c>
      <c r="C1368" s="7"/>
      <c r="D1368" s="12" t="s">
        <v>2379</v>
      </c>
      <c r="E1368" s="8" t="s">
        <v>82</v>
      </c>
      <c r="F1368" s="13">
        <v>0.40300000000000002</v>
      </c>
      <c r="G1368" s="12"/>
    </row>
    <row r="1369" spans="1:7" x14ac:dyDescent="0.25">
      <c r="A1369" s="7" t="s">
        <v>2376</v>
      </c>
      <c r="B1369" s="7" t="s">
        <v>2377</v>
      </c>
      <c r="C1369" s="7"/>
      <c r="D1369" s="12" t="s">
        <v>2380</v>
      </c>
      <c r="E1369" s="8" t="s">
        <v>82</v>
      </c>
      <c r="F1369" s="13">
        <v>1.4E-2</v>
      </c>
      <c r="G1369" s="12"/>
    </row>
    <row r="1370" spans="1:7" x14ac:dyDescent="0.25">
      <c r="A1370" s="7" t="s">
        <v>2376</v>
      </c>
      <c r="B1370" s="7" t="s">
        <v>2377</v>
      </c>
      <c r="C1370" s="7"/>
      <c r="D1370" s="12" t="s">
        <v>2381</v>
      </c>
      <c r="E1370" s="8" t="s">
        <v>82</v>
      </c>
      <c r="F1370" s="13">
        <v>1.2E-2</v>
      </c>
      <c r="G1370" s="12"/>
    </row>
    <row r="1371" spans="1:7" x14ac:dyDescent="0.25">
      <c r="A1371" s="7" t="s">
        <v>2376</v>
      </c>
      <c r="B1371" s="7" t="s">
        <v>2377</v>
      </c>
      <c r="C1371" s="7"/>
      <c r="D1371" s="12" t="s">
        <v>2382</v>
      </c>
      <c r="E1371" s="8" t="s">
        <v>82</v>
      </c>
      <c r="F1371" s="13">
        <v>2.9000000000000001E-2</v>
      </c>
      <c r="G1371" s="12"/>
    </row>
    <row r="1372" spans="1:7" x14ac:dyDescent="0.25">
      <c r="A1372" s="7" t="s">
        <v>2376</v>
      </c>
      <c r="B1372" s="7" t="s">
        <v>2377</v>
      </c>
      <c r="C1372" s="7"/>
      <c r="D1372" s="12" t="s">
        <v>2383</v>
      </c>
      <c r="E1372" s="8" t="s">
        <v>82</v>
      </c>
      <c r="F1372" s="13">
        <v>7.0000000000000001E-3</v>
      </c>
      <c r="G1372" s="12"/>
    </row>
    <row r="1373" spans="1:7" x14ac:dyDescent="0.25">
      <c r="A1373" s="7" t="s">
        <v>2376</v>
      </c>
      <c r="B1373" s="7" t="s">
        <v>2384</v>
      </c>
      <c r="C1373" s="7"/>
      <c r="D1373" s="12" t="s">
        <v>2385</v>
      </c>
      <c r="E1373" s="8" t="s">
        <v>82</v>
      </c>
      <c r="F1373" s="13">
        <v>0.01</v>
      </c>
      <c r="G1373" s="12"/>
    </row>
    <row r="1374" spans="1:7" x14ac:dyDescent="0.25">
      <c r="A1374" s="7" t="s">
        <v>2376</v>
      </c>
      <c r="B1374" s="7" t="s">
        <v>2384</v>
      </c>
      <c r="C1374" s="7"/>
      <c r="D1374" s="12" t="s">
        <v>2386</v>
      </c>
      <c r="E1374" s="8" t="s">
        <v>82</v>
      </c>
      <c r="F1374" s="13">
        <v>8.9999999999999993E-3</v>
      </c>
      <c r="G1374" s="12"/>
    </row>
    <row r="1375" spans="1:7" x14ac:dyDescent="0.25">
      <c r="A1375" s="7" t="s">
        <v>2376</v>
      </c>
      <c r="B1375" s="7" t="s">
        <v>2384</v>
      </c>
      <c r="C1375" s="7"/>
      <c r="D1375" s="12" t="s">
        <v>2387</v>
      </c>
      <c r="E1375" s="8" t="s">
        <v>82</v>
      </c>
      <c r="F1375" s="13">
        <v>0.01</v>
      </c>
      <c r="G1375" s="12"/>
    </row>
    <row r="1376" spans="1:7" x14ac:dyDescent="0.25">
      <c r="A1376" s="7" t="s">
        <v>2376</v>
      </c>
      <c r="B1376" s="7" t="s">
        <v>2384</v>
      </c>
      <c r="C1376" s="7"/>
      <c r="D1376" s="12" t="s">
        <v>2388</v>
      </c>
      <c r="E1376" s="8" t="s">
        <v>82</v>
      </c>
      <c r="F1376" s="13">
        <v>0.01</v>
      </c>
      <c r="G1376" s="12"/>
    </row>
    <row r="1377" spans="1:7" x14ac:dyDescent="0.25">
      <c r="A1377" s="7" t="s">
        <v>2376</v>
      </c>
      <c r="B1377" s="7" t="s">
        <v>2384</v>
      </c>
      <c r="C1377" s="7"/>
      <c r="D1377" s="12" t="s">
        <v>2389</v>
      </c>
      <c r="E1377" s="8" t="s">
        <v>82</v>
      </c>
      <c r="F1377" s="13">
        <v>1.4E-2</v>
      </c>
      <c r="G1377" s="12"/>
    </row>
    <row r="1378" spans="1:7" x14ac:dyDescent="0.25">
      <c r="A1378" s="7" t="s">
        <v>2376</v>
      </c>
      <c r="B1378" s="7" t="s">
        <v>2384</v>
      </c>
      <c r="C1378" s="7"/>
      <c r="D1378" s="12" t="s">
        <v>2390</v>
      </c>
      <c r="E1378" s="8" t="s">
        <v>82</v>
      </c>
      <c r="F1378" s="13">
        <v>5.0000000000000001E-3</v>
      </c>
      <c r="G1378" s="12"/>
    </row>
    <row r="1379" spans="1:7" x14ac:dyDescent="0.25">
      <c r="A1379" s="7" t="s">
        <v>2376</v>
      </c>
      <c r="B1379" s="7" t="s">
        <v>2384</v>
      </c>
      <c r="C1379" s="7"/>
      <c r="D1379" s="12" t="s">
        <v>2391</v>
      </c>
      <c r="E1379" s="8" t="s">
        <v>82</v>
      </c>
      <c r="F1379" s="13">
        <v>0.01</v>
      </c>
      <c r="G1379" s="12"/>
    </row>
    <row r="1380" spans="1:7" x14ac:dyDescent="0.25">
      <c r="A1380" s="7" t="s">
        <v>2376</v>
      </c>
      <c r="B1380" s="7" t="s">
        <v>2384</v>
      </c>
      <c r="C1380" s="7"/>
      <c r="D1380" s="12" t="s">
        <v>2392</v>
      </c>
      <c r="E1380" s="8" t="s">
        <v>82</v>
      </c>
      <c r="F1380" s="13">
        <v>0.01</v>
      </c>
      <c r="G1380" s="12"/>
    </row>
    <row r="1381" spans="1:7" x14ac:dyDescent="0.25">
      <c r="A1381" s="7" t="s">
        <v>2376</v>
      </c>
      <c r="B1381" s="7" t="s">
        <v>2384</v>
      </c>
      <c r="C1381" s="7"/>
      <c r="D1381" s="12" t="s">
        <v>2393</v>
      </c>
      <c r="E1381" s="8" t="s">
        <v>82</v>
      </c>
      <c r="F1381" s="13">
        <v>1.0999999999999999E-2</v>
      </c>
      <c r="G1381" s="12"/>
    </row>
    <row r="1382" spans="1:7" x14ac:dyDescent="0.25">
      <c r="A1382" s="7" t="s">
        <v>2376</v>
      </c>
      <c r="B1382" s="7" t="s">
        <v>2384</v>
      </c>
      <c r="C1382" s="7"/>
      <c r="D1382" s="12" t="s">
        <v>2394</v>
      </c>
      <c r="E1382" s="8" t="s">
        <v>82</v>
      </c>
      <c r="F1382" s="13">
        <v>7.0000000000000001E-3</v>
      </c>
      <c r="G1382" s="12"/>
    </row>
    <row r="1383" spans="1:7" x14ac:dyDescent="0.25">
      <c r="A1383" s="7" t="s">
        <v>2376</v>
      </c>
      <c r="B1383" s="7" t="s">
        <v>2395</v>
      </c>
      <c r="C1383" s="7"/>
      <c r="D1383" s="12" t="s">
        <v>2396</v>
      </c>
      <c r="E1383" s="8" t="s">
        <v>82</v>
      </c>
      <c r="F1383" s="13">
        <v>1.2E-2</v>
      </c>
      <c r="G1383" s="12"/>
    </row>
    <row r="1384" spans="1:7" x14ac:dyDescent="0.25">
      <c r="A1384" s="7" t="s">
        <v>2376</v>
      </c>
      <c r="B1384" s="7" t="s">
        <v>2395</v>
      </c>
      <c r="C1384" s="7"/>
      <c r="D1384" s="12" t="s">
        <v>2397</v>
      </c>
      <c r="E1384" s="8" t="s">
        <v>82</v>
      </c>
      <c r="F1384" s="13">
        <v>1.4999999999999999E-2</v>
      </c>
      <c r="G1384" s="12" t="s">
        <v>2398</v>
      </c>
    </row>
    <row r="1385" spans="1:7" x14ac:dyDescent="0.25">
      <c r="A1385" s="7" t="s">
        <v>2376</v>
      </c>
      <c r="B1385" s="7" t="s">
        <v>2395</v>
      </c>
      <c r="C1385" s="7"/>
      <c r="D1385" s="12" t="s">
        <v>2399</v>
      </c>
      <c r="E1385" s="8" t="s">
        <v>82</v>
      </c>
      <c r="F1385" s="13">
        <v>1.0999999999999999E-2</v>
      </c>
      <c r="G1385" s="12" t="s">
        <v>2400</v>
      </c>
    </row>
    <row r="1386" spans="1:7" x14ac:dyDescent="0.25">
      <c r="A1386" s="7" t="s">
        <v>2376</v>
      </c>
      <c r="B1386" s="7" t="s">
        <v>2395</v>
      </c>
      <c r="C1386" s="7"/>
      <c r="D1386" s="12" t="s">
        <v>2401</v>
      </c>
      <c r="E1386" s="8" t="s">
        <v>82</v>
      </c>
      <c r="F1386" s="13">
        <v>1.2999999999999999E-2</v>
      </c>
      <c r="G1386" s="12"/>
    </row>
    <row r="1387" spans="1:7" x14ac:dyDescent="0.25">
      <c r="A1387" s="7" t="s">
        <v>2376</v>
      </c>
      <c r="B1387" s="7" t="s">
        <v>2395</v>
      </c>
      <c r="C1387" s="7"/>
      <c r="D1387" s="12" t="s">
        <v>2402</v>
      </c>
      <c r="E1387" s="8" t="s">
        <v>82</v>
      </c>
      <c r="F1387" s="13">
        <v>1.2E-2</v>
      </c>
      <c r="G1387" s="12"/>
    </row>
    <row r="1388" spans="1:7" x14ac:dyDescent="0.25">
      <c r="A1388" s="7" t="s">
        <v>2376</v>
      </c>
      <c r="B1388" s="7" t="s">
        <v>2395</v>
      </c>
      <c r="C1388" s="7"/>
      <c r="D1388" s="12" t="s">
        <v>2403</v>
      </c>
      <c r="E1388" s="8" t="s">
        <v>82</v>
      </c>
      <c r="F1388" s="13">
        <v>1.2E-2</v>
      </c>
      <c r="G1388" s="12"/>
    </row>
    <row r="1389" spans="1:7" x14ac:dyDescent="0.25">
      <c r="A1389" s="7" t="s">
        <v>2376</v>
      </c>
      <c r="B1389" s="7" t="s">
        <v>2395</v>
      </c>
      <c r="C1389" s="7"/>
      <c r="D1389" s="12" t="s">
        <v>2404</v>
      </c>
      <c r="E1389" s="8" t="s">
        <v>82</v>
      </c>
      <c r="F1389" s="13">
        <v>6.0000000000000001E-3</v>
      </c>
      <c r="G1389" s="12"/>
    </row>
    <row r="1390" spans="1:7" x14ac:dyDescent="0.25">
      <c r="A1390" s="7" t="s">
        <v>2376</v>
      </c>
      <c r="B1390" s="7" t="s">
        <v>2395</v>
      </c>
      <c r="C1390" s="7"/>
      <c r="D1390" s="12" t="s">
        <v>2405</v>
      </c>
      <c r="E1390" s="8" t="s">
        <v>82</v>
      </c>
      <c r="F1390" s="13">
        <v>1.2999999999999999E-2</v>
      </c>
      <c r="G1390" s="12"/>
    </row>
    <row r="1391" spans="1:7" x14ac:dyDescent="0.25">
      <c r="A1391" s="7" t="s">
        <v>2376</v>
      </c>
      <c r="B1391" s="7" t="s">
        <v>2395</v>
      </c>
      <c r="C1391" s="7"/>
      <c r="D1391" s="12" t="s">
        <v>2406</v>
      </c>
      <c r="E1391" s="8" t="s">
        <v>82</v>
      </c>
      <c r="F1391" s="13">
        <v>1.2E-2</v>
      </c>
      <c r="G1391" s="12"/>
    </row>
    <row r="1392" spans="1:7" x14ac:dyDescent="0.25">
      <c r="A1392" s="7" t="s">
        <v>2376</v>
      </c>
      <c r="B1392" s="7" t="s">
        <v>2395</v>
      </c>
      <c r="C1392" s="7"/>
      <c r="D1392" s="12" t="s">
        <v>2407</v>
      </c>
      <c r="E1392" s="8" t="s">
        <v>82</v>
      </c>
      <c r="F1392" s="13">
        <v>8.0000000000000002E-3</v>
      </c>
      <c r="G1392" s="12"/>
    </row>
    <row r="1393" spans="1:7" x14ac:dyDescent="0.25">
      <c r="A1393" s="7" t="s">
        <v>2376</v>
      </c>
      <c r="B1393" s="7" t="s">
        <v>2395</v>
      </c>
      <c r="C1393" s="7"/>
      <c r="D1393" s="12" t="s">
        <v>2408</v>
      </c>
      <c r="E1393" s="8" t="s">
        <v>82</v>
      </c>
      <c r="F1393" s="13">
        <v>1.2999999999999999E-2</v>
      </c>
      <c r="G1393" s="12"/>
    </row>
    <row r="1394" spans="1:7" x14ac:dyDescent="0.25">
      <c r="A1394" s="7" t="s">
        <v>2376</v>
      </c>
      <c r="B1394" s="7" t="s">
        <v>2395</v>
      </c>
      <c r="C1394" s="7"/>
      <c r="D1394" s="12" t="s">
        <v>2409</v>
      </c>
      <c r="E1394" s="8" t="s">
        <v>82</v>
      </c>
      <c r="F1394" s="13">
        <v>8.9999999999999993E-3</v>
      </c>
      <c r="G1394" s="12"/>
    </row>
    <row r="1395" spans="1:7" x14ac:dyDescent="0.25">
      <c r="A1395" s="7" t="s">
        <v>2376</v>
      </c>
      <c r="B1395" s="7" t="s">
        <v>2395</v>
      </c>
      <c r="C1395" s="7"/>
      <c r="D1395" s="12" t="s">
        <v>2410</v>
      </c>
      <c r="E1395" s="8" t="s">
        <v>82</v>
      </c>
      <c r="F1395" s="13">
        <v>7.0000000000000001E-3</v>
      </c>
      <c r="G1395" s="12" t="s">
        <v>2411</v>
      </c>
    </row>
    <row r="1396" spans="1:7" x14ac:dyDescent="0.25">
      <c r="A1396" s="7" t="s">
        <v>2376</v>
      </c>
      <c r="B1396" s="7" t="s">
        <v>2395</v>
      </c>
      <c r="C1396" s="7"/>
      <c r="D1396" s="12" t="s">
        <v>2412</v>
      </c>
      <c r="E1396" s="8" t="s">
        <v>82</v>
      </c>
      <c r="F1396" s="13">
        <v>1.2E-2</v>
      </c>
      <c r="G1396" s="12"/>
    </row>
    <row r="1397" spans="1:7" x14ac:dyDescent="0.25">
      <c r="A1397" s="7" t="s">
        <v>2376</v>
      </c>
      <c r="B1397" s="7" t="s">
        <v>2395</v>
      </c>
      <c r="C1397" s="7"/>
      <c r="D1397" s="12" t="s">
        <v>2413</v>
      </c>
      <c r="E1397" s="8" t="s">
        <v>82</v>
      </c>
      <c r="F1397" s="13">
        <v>1.4999999999999999E-2</v>
      </c>
      <c r="G1397" s="12"/>
    </row>
    <row r="1398" spans="1:7" ht="25.5" x14ac:dyDescent="0.25">
      <c r="A1398" s="7" t="s">
        <v>2376</v>
      </c>
      <c r="B1398" s="7" t="s">
        <v>2395</v>
      </c>
      <c r="C1398" s="7"/>
      <c r="D1398" s="12" t="s">
        <v>2414</v>
      </c>
      <c r="E1398" s="8" t="s">
        <v>82</v>
      </c>
      <c r="F1398" s="13">
        <v>1.4999999999999999E-2</v>
      </c>
      <c r="G1398" s="12" t="s">
        <v>2415</v>
      </c>
    </row>
    <row r="1399" spans="1:7" x14ac:dyDescent="0.25">
      <c r="A1399" s="7" t="s">
        <v>2376</v>
      </c>
      <c r="B1399" s="7" t="s">
        <v>2395</v>
      </c>
      <c r="C1399" s="7"/>
      <c r="D1399" s="12" t="s">
        <v>2416</v>
      </c>
      <c r="E1399" s="8" t="s">
        <v>82</v>
      </c>
      <c r="F1399" s="13">
        <v>1.2999999999999999E-2</v>
      </c>
      <c r="G1399" s="12" t="s">
        <v>2417</v>
      </c>
    </row>
    <row r="1400" spans="1:7" x14ac:dyDescent="0.25">
      <c r="A1400" s="7" t="s">
        <v>2376</v>
      </c>
      <c r="B1400" s="7" t="s">
        <v>2395</v>
      </c>
      <c r="C1400" s="7"/>
      <c r="D1400" s="12" t="s">
        <v>2418</v>
      </c>
      <c r="E1400" s="8" t="s">
        <v>82</v>
      </c>
      <c r="F1400" s="13">
        <v>1.2999999999999999E-2</v>
      </c>
      <c r="G1400" s="12"/>
    </row>
    <row r="1401" spans="1:7" x14ac:dyDescent="0.25">
      <c r="A1401" s="7" t="s">
        <v>2376</v>
      </c>
      <c r="B1401" s="7" t="s">
        <v>2395</v>
      </c>
      <c r="C1401" s="7"/>
      <c r="D1401" s="12" t="s">
        <v>2419</v>
      </c>
      <c r="E1401" s="8" t="s">
        <v>82</v>
      </c>
      <c r="F1401" s="13">
        <v>3.1E-2</v>
      </c>
      <c r="G1401" s="12"/>
    </row>
    <row r="1402" spans="1:7" x14ac:dyDescent="0.25">
      <c r="A1402" s="7" t="s">
        <v>2376</v>
      </c>
      <c r="B1402" s="7" t="s">
        <v>2395</v>
      </c>
      <c r="C1402" s="7"/>
      <c r="D1402" s="12" t="s">
        <v>2420</v>
      </c>
      <c r="E1402" s="8" t="s">
        <v>82</v>
      </c>
      <c r="F1402" s="13">
        <v>8.0000000000000002E-3</v>
      </c>
      <c r="G1402" s="12"/>
    </row>
    <row r="1403" spans="1:7" x14ac:dyDescent="0.25">
      <c r="A1403" s="7" t="s">
        <v>2376</v>
      </c>
      <c r="B1403" s="7" t="s">
        <v>2395</v>
      </c>
      <c r="C1403" s="7"/>
      <c r="D1403" s="12" t="s">
        <v>2421</v>
      </c>
      <c r="E1403" s="8" t="s">
        <v>82</v>
      </c>
      <c r="F1403" s="13">
        <v>0.02</v>
      </c>
      <c r="G1403" s="12"/>
    </row>
    <row r="1404" spans="1:7" x14ac:dyDescent="0.25">
      <c r="A1404" s="7" t="s">
        <v>2376</v>
      </c>
      <c r="B1404" s="7" t="s">
        <v>2395</v>
      </c>
      <c r="C1404" s="7"/>
      <c r="D1404" s="12" t="s">
        <v>2422</v>
      </c>
      <c r="E1404" s="8" t="s">
        <v>82</v>
      </c>
      <c r="F1404" s="13">
        <v>1.4E-2</v>
      </c>
      <c r="G1404" s="12"/>
    </row>
    <row r="1405" spans="1:7" x14ac:dyDescent="0.25">
      <c r="A1405" s="7" t="s">
        <v>2376</v>
      </c>
      <c r="B1405" s="7" t="s">
        <v>2395</v>
      </c>
      <c r="C1405" s="7"/>
      <c r="D1405" s="12" t="s">
        <v>2423</v>
      </c>
      <c r="E1405" s="8" t="s">
        <v>82</v>
      </c>
      <c r="F1405" s="13">
        <v>0.02</v>
      </c>
      <c r="G1405" s="12"/>
    </row>
    <row r="1406" spans="1:7" x14ac:dyDescent="0.25">
      <c r="A1406" s="7" t="s">
        <v>2376</v>
      </c>
      <c r="B1406" s="7" t="s">
        <v>2395</v>
      </c>
      <c r="C1406" s="7"/>
      <c r="D1406" s="12" t="s">
        <v>2424</v>
      </c>
      <c r="E1406" s="8" t="s">
        <v>82</v>
      </c>
      <c r="F1406" s="13">
        <v>1.9E-2</v>
      </c>
      <c r="G1406" s="12"/>
    </row>
    <row r="1407" spans="1:7" x14ac:dyDescent="0.25">
      <c r="A1407" s="7" t="s">
        <v>2376</v>
      </c>
      <c r="B1407" s="7" t="s">
        <v>2395</v>
      </c>
      <c r="C1407" s="7"/>
      <c r="D1407" s="12" t="s">
        <v>2425</v>
      </c>
      <c r="E1407" s="8" t="s">
        <v>82</v>
      </c>
      <c r="F1407" s="13">
        <v>1.4999999999999999E-2</v>
      </c>
      <c r="G1407" s="12"/>
    </row>
    <row r="1408" spans="1:7" x14ac:dyDescent="0.25">
      <c r="A1408" s="7" t="s">
        <v>2376</v>
      </c>
      <c r="B1408" s="7" t="s">
        <v>2395</v>
      </c>
      <c r="C1408" s="7"/>
      <c r="D1408" s="12" t="s">
        <v>2426</v>
      </c>
      <c r="E1408" s="8" t="s">
        <v>82</v>
      </c>
      <c r="F1408" s="13">
        <v>3.9E-2</v>
      </c>
      <c r="G1408" s="12"/>
    </row>
    <row r="1409" spans="1:7" ht="25.5" x14ac:dyDescent="0.25">
      <c r="A1409" s="7" t="s">
        <v>2376</v>
      </c>
      <c r="B1409" s="7" t="s">
        <v>2395</v>
      </c>
      <c r="C1409" s="7"/>
      <c r="D1409" s="12" t="s">
        <v>2427</v>
      </c>
      <c r="E1409" s="8" t="s">
        <v>82</v>
      </c>
      <c r="F1409" s="13">
        <v>1.2999999999999999E-2</v>
      </c>
      <c r="G1409" s="12"/>
    </row>
    <row r="1410" spans="1:7" ht="25.5" x14ac:dyDescent="0.25">
      <c r="A1410" s="7" t="s">
        <v>2376</v>
      </c>
      <c r="B1410" s="7" t="s">
        <v>2395</v>
      </c>
      <c r="C1410" s="7"/>
      <c r="D1410" s="12" t="s">
        <v>2428</v>
      </c>
      <c r="E1410" s="8" t="s">
        <v>82</v>
      </c>
      <c r="F1410" s="13">
        <v>1.2999999999999999E-2</v>
      </c>
      <c r="G1410" s="12"/>
    </row>
    <row r="1411" spans="1:7" ht="25.5" x14ac:dyDescent="0.25">
      <c r="A1411" s="7" t="s">
        <v>2376</v>
      </c>
      <c r="B1411" s="7" t="s">
        <v>2395</v>
      </c>
      <c r="C1411" s="7"/>
      <c r="D1411" s="12" t="s">
        <v>2429</v>
      </c>
      <c r="E1411" s="8" t="s">
        <v>82</v>
      </c>
      <c r="F1411" s="13">
        <v>1.2999999999999999E-2</v>
      </c>
      <c r="G1411" s="12"/>
    </row>
    <row r="1412" spans="1:7" ht="25.5" x14ac:dyDescent="0.25">
      <c r="A1412" s="7" t="s">
        <v>2376</v>
      </c>
      <c r="B1412" s="7" t="s">
        <v>2395</v>
      </c>
      <c r="C1412" s="7"/>
      <c r="D1412" s="12" t="s">
        <v>2430</v>
      </c>
      <c r="E1412" s="8" t="s">
        <v>82</v>
      </c>
      <c r="F1412" s="13">
        <v>1.4E-2</v>
      </c>
      <c r="G1412" s="12"/>
    </row>
    <row r="1413" spans="1:7" ht="25.5" x14ac:dyDescent="0.25">
      <c r="A1413" s="7" t="s">
        <v>2376</v>
      </c>
      <c r="B1413" s="7" t="s">
        <v>2395</v>
      </c>
      <c r="C1413" s="7"/>
      <c r="D1413" s="12" t="s">
        <v>2431</v>
      </c>
      <c r="E1413" s="8" t="s">
        <v>82</v>
      </c>
      <c r="F1413" s="13">
        <v>1.4999999999999999E-2</v>
      </c>
      <c r="G1413" s="12"/>
    </row>
    <row r="1414" spans="1:7" ht="25.5" x14ac:dyDescent="0.25">
      <c r="A1414" s="7" t="s">
        <v>2376</v>
      </c>
      <c r="B1414" s="7" t="s">
        <v>2395</v>
      </c>
      <c r="C1414" s="7"/>
      <c r="D1414" s="12" t="s">
        <v>2432</v>
      </c>
      <c r="E1414" s="8" t="s">
        <v>82</v>
      </c>
      <c r="F1414" s="13">
        <v>1.6E-2</v>
      </c>
      <c r="G1414" s="12"/>
    </row>
    <row r="1415" spans="1:7" x14ac:dyDescent="0.25">
      <c r="A1415" s="7" t="s">
        <v>2376</v>
      </c>
      <c r="B1415" s="7" t="s">
        <v>2395</v>
      </c>
      <c r="C1415" s="7"/>
      <c r="D1415" s="12" t="s">
        <v>2433</v>
      </c>
      <c r="E1415" s="8" t="s">
        <v>82</v>
      </c>
      <c r="F1415" s="13">
        <v>1.4E-2</v>
      </c>
      <c r="G1415" s="12"/>
    </row>
    <row r="1416" spans="1:7" x14ac:dyDescent="0.25">
      <c r="A1416" s="7" t="s">
        <v>2376</v>
      </c>
      <c r="B1416" s="7" t="s">
        <v>2395</v>
      </c>
      <c r="C1416" s="7"/>
      <c r="D1416" s="12" t="s">
        <v>2434</v>
      </c>
      <c r="E1416" s="8" t="s">
        <v>82</v>
      </c>
      <c r="F1416" s="13">
        <v>1.2999999999999999E-2</v>
      </c>
      <c r="G1416" s="12"/>
    </row>
    <row r="1417" spans="1:7" x14ac:dyDescent="0.25">
      <c r="A1417" s="7" t="s">
        <v>2376</v>
      </c>
      <c r="B1417" s="7" t="s">
        <v>2395</v>
      </c>
      <c r="C1417" s="7"/>
      <c r="D1417" s="12" t="s">
        <v>2435</v>
      </c>
      <c r="E1417" s="8" t="s">
        <v>82</v>
      </c>
      <c r="F1417" s="13">
        <v>1.2999999999999999E-2</v>
      </c>
      <c r="G1417" s="12"/>
    </row>
    <row r="1418" spans="1:7" x14ac:dyDescent="0.25">
      <c r="A1418" s="7" t="s">
        <v>2376</v>
      </c>
      <c r="B1418" s="7" t="s">
        <v>2395</v>
      </c>
      <c r="C1418" s="7"/>
      <c r="D1418" s="12" t="s">
        <v>2436</v>
      </c>
      <c r="E1418" s="8" t="s">
        <v>82</v>
      </c>
      <c r="F1418" s="13">
        <v>1.2999999999999999E-2</v>
      </c>
      <c r="G1418" s="12"/>
    </row>
    <row r="1419" spans="1:7" x14ac:dyDescent="0.25">
      <c r="A1419" s="7" t="s">
        <v>2376</v>
      </c>
      <c r="B1419" s="7" t="s">
        <v>2395</v>
      </c>
      <c r="C1419" s="7"/>
      <c r="D1419" s="12" t="s">
        <v>2437</v>
      </c>
      <c r="E1419" s="8" t="s">
        <v>82</v>
      </c>
      <c r="F1419" s="13">
        <v>1.4E-2</v>
      </c>
      <c r="G1419" s="12"/>
    </row>
    <row r="1420" spans="1:7" ht="25.5" x14ac:dyDescent="0.25">
      <c r="A1420" s="7" t="s">
        <v>2376</v>
      </c>
      <c r="B1420" s="7" t="s">
        <v>2395</v>
      </c>
      <c r="C1420" s="7"/>
      <c r="D1420" s="12" t="s">
        <v>2438</v>
      </c>
      <c r="E1420" s="8" t="s">
        <v>82</v>
      </c>
      <c r="F1420" s="13">
        <v>1.7000000000000001E-2</v>
      </c>
      <c r="G1420" s="12"/>
    </row>
    <row r="1421" spans="1:7" x14ac:dyDescent="0.25">
      <c r="A1421" s="7" t="s">
        <v>2376</v>
      </c>
      <c r="B1421" s="7" t="s">
        <v>2395</v>
      </c>
      <c r="C1421" s="7"/>
      <c r="D1421" s="12" t="s">
        <v>2439</v>
      </c>
      <c r="E1421" s="8" t="s">
        <v>82</v>
      </c>
      <c r="F1421" s="13">
        <v>1.7000000000000001E-2</v>
      </c>
      <c r="G1421" s="12"/>
    </row>
    <row r="1422" spans="1:7" x14ac:dyDescent="0.25">
      <c r="A1422" s="7" t="s">
        <v>2376</v>
      </c>
      <c r="B1422" s="7" t="s">
        <v>2395</v>
      </c>
      <c r="C1422" s="7"/>
      <c r="D1422" s="12" t="s">
        <v>2440</v>
      </c>
      <c r="E1422" s="8" t="s">
        <v>82</v>
      </c>
      <c r="F1422" s="13">
        <v>1.2999999999999999E-2</v>
      </c>
      <c r="G1422" s="12" t="s">
        <v>2441</v>
      </c>
    </row>
    <row r="1423" spans="1:7" x14ac:dyDescent="0.25">
      <c r="A1423" s="7" t="s">
        <v>2376</v>
      </c>
      <c r="B1423" s="7" t="s">
        <v>2395</v>
      </c>
      <c r="C1423" s="7"/>
      <c r="D1423" s="12" t="s">
        <v>2442</v>
      </c>
      <c r="E1423" s="8" t="s">
        <v>82</v>
      </c>
      <c r="F1423" s="13">
        <v>1.4E-2</v>
      </c>
      <c r="G1423" s="12"/>
    </row>
    <row r="1424" spans="1:7" x14ac:dyDescent="0.25">
      <c r="A1424" s="7" t="s">
        <v>2376</v>
      </c>
      <c r="B1424" s="7" t="s">
        <v>2395</v>
      </c>
      <c r="C1424" s="7"/>
      <c r="D1424" s="12" t="s">
        <v>2443</v>
      </c>
      <c r="E1424" s="8" t="s">
        <v>82</v>
      </c>
      <c r="F1424" s="13">
        <v>1.6E-2</v>
      </c>
      <c r="G1424" s="12"/>
    </row>
    <row r="1425" spans="1:7" ht="25.5" x14ac:dyDescent="0.25">
      <c r="A1425" s="7" t="s">
        <v>2376</v>
      </c>
      <c r="B1425" s="7" t="s">
        <v>2395</v>
      </c>
      <c r="C1425" s="7"/>
      <c r="D1425" s="12" t="s">
        <v>2444</v>
      </c>
      <c r="E1425" s="8" t="s">
        <v>82</v>
      </c>
      <c r="F1425" s="13">
        <v>1.9E-2</v>
      </c>
      <c r="G1425" s="12" t="s">
        <v>2445</v>
      </c>
    </row>
    <row r="1426" spans="1:7" x14ac:dyDescent="0.25">
      <c r="A1426" s="7" t="s">
        <v>2376</v>
      </c>
      <c r="B1426" s="7" t="s">
        <v>2446</v>
      </c>
      <c r="C1426" s="7"/>
      <c r="D1426" s="12" t="s">
        <v>2447</v>
      </c>
      <c r="E1426" s="8" t="s">
        <v>82</v>
      </c>
      <c r="F1426" s="13">
        <v>1E-3</v>
      </c>
      <c r="G1426" s="12"/>
    </row>
    <row r="1427" spans="1:7" x14ac:dyDescent="0.25">
      <c r="A1427" s="7" t="s">
        <v>2376</v>
      </c>
      <c r="B1427" s="7" t="s">
        <v>2446</v>
      </c>
      <c r="C1427" s="7"/>
      <c r="D1427" s="12" t="s">
        <v>2448</v>
      </c>
      <c r="E1427" s="8" t="s">
        <v>82</v>
      </c>
      <c r="F1427" s="13">
        <v>1E-3</v>
      </c>
      <c r="G1427" s="12"/>
    </row>
    <row r="1428" spans="1:7" x14ac:dyDescent="0.25">
      <c r="A1428" s="7" t="s">
        <v>2376</v>
      </c>
      <c r="B1428" s="7" t="s">
        <v>2446</v>
      </c>
      <c r="C1428" s="7"/>
      <c r="D1428" s="12" t="s">
        <v>2449</v>
      </c>
      <c r="E1428" s="8" t="s">
        <v>82</v>
      </c>
      <c r="F1428" s="13">
        <v>2E-3</v>
      </c>
      <c r="G1428" s="12"/>
    </row>
    <row r="1429" spans="1:7" x14ac:dyDescent="0.25">
      <c r="A1429" s="7" t="s">
        <v>2376</v>
      </c>
      <c r="B1429" s="7" t="s">
        <v>2446</v>
      </c>
      <c r="C1429" s="7"/>
      <c r="D1429" s="12" t="s">
        <v>2450</v>
      </c>
      <c r="E1429" s="8" t="s">
        <v>82</v>
      </c>
      <c r="F1429" s="13">
        <v>2E-3</v>
      </c>
      <c r="G1429" s="12"/>
    </row>
    <row r="1430" spans="1:7" x14ac:dyDescent="0.25">
      <c r="A1430" s="7" t="s">
        <v>2376</v>
      </c>
      <c r="B1430" s="7" t="s">
        <v>2446</v>
      </c>
      <c r="C1430" s="7"/>
      <c r="D1430" s="12" t="s">
        <v>2451</v>
      </c>
      <c r="E1430" s="8" t="s">
        <v>82</v>
      </c>
      <c r="F1430" s="13">
        <v>1E-3</v>
      </c>
      <c r="G1430" s="12"/>
    </row>
    <row r="1431" spans="1:7" x14ac:dyDescent="0.25">
      <c r="A1431" s="7" t="s">
        <v>2376</v>
      </c>
      <c r="B1431" s="7" t="s">
        <v>2446</v>
      </c>
      <c r="C1431" s="7"/>
      <c r="D1431" s="12" t="s">
        <v>2452</v>
      </c>
      <c r="E1431" s="8" t="s">
        <v>82</v>
      </c>
      <c r="F1431" s="13">
        <v>1E-3</v>
      </c>
      <c r="G1431" s="12"/>
    </row>
    <row r="1432" spans="1:7" x14ac:dyDescent="0.25">
      <c r="A1432" s="7" t="s">
        <v>2376</v>
      </c>
      <c r="B1432" s="7" t="s">
        <v>2446</v>
      </c>
      <c r="C1432" s="7"/>
      <c r="D1432" s="12" t="s">
        <v>2453</v>
      </c>
      <c r="E1432" s="8" t="s">
        <v>82</v>
      </c>
      <c r="F1432" s="13">
        <v>1E-3</v>
      </c>
      <c r="G1432" s="12"/>
    </row>
    <row r="1433" spans="1:7" x14ac:dyDescent="0.25">
      <c r="A1433" s="7" t="s">
        <v>2376</v>
      </c>
      <c r="B1433" s="7" t="s">
        <v>2446</v>
      </c>
      <c r="C1433" s="7"/>
      <c r="D1433" s="12" t="s">
        <v>2454</v>
      </c>
      <c r="E1433" s="8" t="s">
        <v>82</v>
      </c>
      <c r="F1433" s="13">
        <v>1E-3</v>
      </c>
      <c r="G1433" s="12"/>
    </row>
    <row r="1434" spans="1:7" x14ac:dyDescent="0.25">
      <c r="A1434" s="7" t="s">
        <v>2376</v>
      </c>
      <c r="B1434" s="7" t="s">
        <v>2446</v>
      </c>
      <c r="C1434" s="7"/>
      <c r="D1434" s="12" t="s">
        <v>2455</v>
      </c>
      <c r="E1434" s="8" t="s">
        <v>82</v>
      </c>
      <c r="F1434" s="13">
        <v>1E-3</v>
      </c>
      <c r="G1434" s="12"/>
    </row>
    <row r="1435" spans="1:7" x14ac:dyDescent="0.25">
      <c r="A1435" s="7" t="s">
        <v>2376</v>
      </c>
      <c r="B1435" s="7" t="s">
        <v>2446</v>
      </c>
      <c r="C1435" s="7"/>
      <c r="D1435" s="12" t="s">
        <v>2456</v>
      </c>
      <c r="E1435" s="8" t="s">
        <v>82</v>
      </c>
      <c r="F1435" s="13">
        <v>1E-3</v>
      </c>
      <c r="G1435" s="12"/>
    </row>
    <row r="1436" spans="1:7" x14ac:dyDescent="0.25">
      <c r="A1436" s="7" t="s">
        <v>2376</v>
      </c>
      <c r="B1436" s="7" t="s">
        <v>2446</v>
      </c>
      <c r="C1436" s="7"/>
      <c r="D1436" s="12" t="s">
        <v>2457</v>
      </c>
      <c r="E1436" s="8" t="s">
        <v>82</v>
      </c>
      <c r="F1436" s="13">
        <v>1E-3</v>
      </c>
      <c r="G1436" s="12"/>
    </row>
    <row r="1437" spans="1:7" x14ac:dyDescent="0.25">
      <c r="A1437" s="7" t="s">
        <v>2376</v>
      </c>
      <c r="B1437" s="7" t="s">
        <v>2446</v>
      </c>
      <c r="C1437" s="7"/>
      <c r="D1437" s="12" t="s">
        <v>2458</v>
      </c>
      <c r="E1437" s="8" t="s">
        <v>82</v>
      </c>
      <c r="F1437" s="13">
        <v>1E-3</v>
      </c>
      <c r="G1437" s="12"/>
    </row>
    <row r="1438" spans="1:7" x14ac:dyDescent="0.25">
      <c r="A1438" s="7" t="s">
        <v>2376</v>
      </c>
      <c r="B1438" s="7" t="s">
        <v>2446</v>
      </c>
      <c r="C1438" s="7"/>
      <c r="D1438" s="12" t="s">
        <v>2459</v>
      </c>
      <c r="E1438" s="8" t="s">
        <v>82</v>
      </c>
      <c r="F1438" s="13">
        <v>1E-3</v>
      </c>
      <c r="G1438" s="12"/>
    </row>
    <row r="1439" spans="1:7" x14ac:dyDescent="0.25">
      <c r="A1439" s="7" t="s">
        <v>2376</v>
      </c>
      <c r="B1439" s="7" t="s">
        <v>2446</v>
      </c>
      <c r="C1439" s="7"/>
      <c r="D1439" s="12" t="s">
        <v>2460</v>
      </c>
      <c r="E1439" s="8" t="s">
        <v>82</v>
      </c>
      <c r="F1439" s="13">
        <v>1E-3</v>
      </c>
      <c r="G1439" s="12"/>
    </row>
    <row r="1440" spans="1:7" x14ac:dyDescent="0.25">
      <c r="A1440" s="7" t="s">
        <v>2376</v>
      </c>
      <c r="B1440" s="7" t="s">
        <v>2446</v>
      </c>
      <c r="C1440" s="7"/>
      <c r="D1440" s="12" t="s">
        <v>2461</v>
      </c>
      <c r="E1440" s="8" t="s">
        <v>82</v>
      </c>
      <c r="F1440" s="13">
        <v>1E-3</v>
      </c>
      <c r="G1440" s="12"/>
    </row>
    <row r="1441" spans="1:7" x14ac:dyDescent="0.25">
      <c r="A1441" s="7" t="s">
        <v>2376</v>
      </c>
      <c r="B1441" s="7" t="s">
        <v>2446</v>
      </c>
      <c r="C1441" s="7"/>
      <c r="D1441" s="12" t="s">
        <v>2462</v>
      </c>
      <c r="E1441" s="8" t="s">
        <v>82</v>
      </c>
      <c r="F1441" s="13">
        <v>1E-3</v>
      </c>
      <c r="G1441" s="12"/>
    </row>
    <row r="1442" spans="1:7" x14ac:dyDescent="0.25">
      <c r="A1442" s="7" t="s">
        <v>2376</v>
      </c>
      <c r="B1442" s="7" t="s">
        <v>2446</v>
      </c>
      <c r="C1442" s="7"/>
      <c r="D1442" s="12" t="s">
        <v>2463</v>
      </c>
      <c r="E1442" s="8" t="s">
        <v>82</v>
      </c>
      <c r="F1442" s="13">
        <v>1E-3</v>
      </c>
      <c r="G1442" s="12"/>
    </row>
    <row r="1443" spans="1:7" x14ac:dyDescent="0.25">
      <c r="A1443" s="7" t="s">
        <v>2376</v>
      </c>
      <c r="B1443" s="7" t="s">
        <v>2446</v>
      </c>
      <c r="C1443" s="7"/>
      <c r="D1443" s="12" t="s">
        <v>2464</v>
      </c>
      <c r="E1443" s="8" t="s">
        <v>82</v>
      </c>
      <c r="F1443" s="13">
        <v>1E-3</v>
      </c>
      <c r="G1443" s="12"/>
    </row>
    <row r="1444" spans="1:7" x14ac:dyDescent="0.25">
      <c r="A1444" s="7" t="s">
        <v>2376</v>
      </c>
      <c r="B1444" s="7" t="s">
        <v>2446</v>
      </c>
      <c r="C1444" s="7"/>
      <c r="D1444" s="12" t="s">
        <v>2465</v>
      </c>
      <c r="E1444" s="8" t="s">
        <v>82</v>
      </c>
      <c r="F1444" s="13">
        <v>1E-3</v>
      </c>
      <c r="G1444" s="12"/>
    </row>
    <row r="1445" spans="1:7" x14ac:dyDescent="0.25">
      <c r="A1445" s="7" t="s">
        <v>2376</v>
      </c>
      <c r="B1445" s="7" t="s">
        <v>2466</v>
      </c>
      <c r="C1445" s="7"/>
      <c r="D1445" s="12" t="s">
        <v>2467</v>
      </c>
      <c r="E1445" s="8" t="s">
        <v>82</v>
      </c>
      <c r="F1445" s="13">
        <v>1E-3</v>
      </c>
      <c r="G1445" s="12"/>
    </row>
    <row r="1446" spans="1:7" x14ac:dyDescent="0.25">
      <c r="A1446" s="7" t="s">
        <v>2376</v>
      </c>
      <c r="B1446" s="7" t="s">
        <v>2466</v>
      </c>
      <c r="C1446" s="7"/>
      <c r="D1446" s="12" t="s">
        <v>2468</v>
      </c>
      <c r="E1446" s="8" t="s">
        <v>82</v>
      </c>
      <c r="F1446" s="13">
        <v>1E-3</v>
      </c>
      <c r="G1446" s="12"/>
    </row>
    <row r="1447" spans="1:7" x14ac:dyDescent="0.25">
      <c r="A1447" s="7" t="s">
        <v>2376</v>
      </c>
      <c r="B1447" s="7" t="s">
        <v>2466</v>
      </c>
      <c r="C1447" s="7"/>
      <c r="D1447" s="12" t="s">
        <v>2469</v>
      </c>
      <c r="E1447" s="8" t="s">
        <v>82</v>
      </c>
      <c r="F1447" s="13">
        <v>1E-3</v>
      </c>
      <c r="G1447" s="12"/>
    </row>
    <row r="1448" spans="1:7" x14ac:dyDescent="0.25">
      <c r="A1448" s="7" t="s">
        <v>2376</v>
      </c>
      <c r="B1448" s="7" t="s">
        <v>2466</v>
      </c>
      <c r="C1448" s="7"/>
      <c r="D1448" s="12" t="s">
        <v>2470</v>
      </c>
      <c r="E1448" s="8" t="s">
        <v>82</v>
      </c>
      <c r="F1448" s="13">
        <v>1E-3</v>
      </c>
      <c r="G1448" s="12"/>
    </row>
    <row r="1449" spans="1:7" x14ac:dyDescent="0.25">
      <c r="A1449" s="7" t="s">
        <v>2376</v>
      </c>
      <c r="B1449" s="7" t="s">
        <v>2466</v>
      </c>
      <c r="C1449" s="7"/>
      <c r="D1449" s="12" t="s">
        <v>2471</v>
      </c>
      <c r="E1449" s="8" t="s">
        <v>82</v>
      </c>
      <c r="F1449" s="13">
        <v>1E-3</v>
      </c>
      <c r="G1449" s="12"/>
    </row>
    <row r="1450" spans="1:7" x14ac:dyDescent="0.25">
      <c r="A1450" s="7" t="s">
        <v>2376</v>
      </c>
      <c r="B1450" s="7" t="s">
        <v>2466</v>
      </c>
      <c r="C1450" s="7"/>
      <c r="D1450" s="12" t="s">
        <v>2472</v>
      </c>
      <c r="E1450" s="8" t="s">
        <v>82</v>
      </c>
      <c r="F1450" s="13">
        <v>0.22800000000000001</v>
      </c>
      <c r="G1450" s="12"/>
    </row>
    <row r="1451" spans="1:7" x14ac:dyDescent="0.25">
      <c r="A1451" s="7" t="s">
        <v>2376</v>
      </c>
      <c r="B1451" s="7" t="s">
        <v>2466</v>
      </c>
      <c r="C1451" s="7"/>
      <c r="D1451" s="12" t="s">
        <v>2473</v>
      </c>
      <c r="E1451" s="8" t="s">
        <v>82</v>
      </c>
      <c r="F1451" s="13">
        <v>1E-3</v>
      </c>
      <c r="G1451" s="12"/>
    </row>
    <row r="1452" spans="1:7" x14ac:dyDescent="0.25">
      <c r="A1452" s="7" t="s">
        <v>2376</v>
      </c>
      <c r="B1452" s="7" t="s">
        <v>2466</v>
      </c>
      <c r="C1452" s="7"/>
      <c r="D1452" s="12" t="s">
        <v>2474</v>
      </c>
      <c r="E1452" s="8" t="s">
        <v>82</v>
      </c>
      <c r="F1452" s="13">
        <v>1E-3</v>
      </c>
      <c r="G1452" s="12"/>
    </row>
    <row r="1453" spans="1:7" x14ac:dyDescent="0.25">
      <c r="A1453" s="7" t="s">
        <v>2376</v>
      </c>
      <c r="B1453" s="7" t="s">
        <v>2466</v>
      </c>
      <c r="C1453" s="7"/>
      <c r="D1453" s="12" t="s">
        <v>2475</v>
      </c>
      <c r="E1453" s="8" t="s">
        <v>82</v>
      </c>
      <c r="F1453" s="13">
        <v>1E-3</v>
      </c>
      <c r="G1453" s="12"/>
    </row>
    <row r="1454" spans="1:7" x14ac:dyDescent="0.25">
      <c r="A1454" s="7" t="s">
        <v>2376</v>
      </c>
      <c r="B1454" s="7" t="s">
        <v>2466</v>
      </c>
      <c r="C1454" s="7"/>
      <c r="D1454" s="12" t="s">
        <v>2476</v>
      </c>
      <c r="E1454" s="8" t="s">
        <v>82</v>
      </c>
      <c r="F1454" s="13">
        <v>1E-3</v>
      </c>
      <c r="G1454" s="12"/>
    </row>
    <row r="1455" spans="1:7" x14ac:dyDescent="0.25">
      <c r="A1455" s="7" t="s">
        <v>2376</v>
      </c>
      <c r="B1455" s="7" t="s">
        <v>2466</v>
      </c>
      <c r="C1455" s="7"/>
      <c r="D1455" s="12" t="s">
        <v>2477</v>
      </c>
      <c r="E1455" s="8" t="s">
        <v>82</v>
      </c>
      <c r="F1455" s="13">
        <v>0.214</v>
      </c>
      <c r="G1455" s="12"/>
    </row>
    <row r="1456" spans="1:7" x14ac:dyDescent="0.25">
      <c r="A1456" s="7" t="s">
        <v>2376</v>
      </c>
      <c r="B1456" s="7" t="s">
        <v>2466</v>
      </c>
      <c r="C1456" s="7"/>
      <c r="D1456" s="12" t="s">
        <v>2478</v>
      </c>
      <c r="E1456" s="8" t="s">
        <v>82</v>
      </c>
      <c r="F1456" s="13">
        <v>1E-3</v>
      </c>
      <c r="G1456" s="12"/>
    </row>
    <row r="1457" spans="1:7" x14ac:dyDescent="0.25">
      <c r="A1457" s="7" t="s">
        <v>2376</v>
      </c>
      <c r="B1457" s="7" t="s">
        <v>2466</v>
      </c>
      <c r="C1457" s="7"/>
      <c r="D1457" s="12" t="s">
        <v>2479</v>
      </c>
      <c r="E1457" s="8" t="s">
        <v>82</v>
      </c>
      <c r="F1457" s="13">
        <v>1E-3</v>
      </c>
      <c r="G1457" s="12"/>
    </row>
    <row r="1458" spans="1:7" x14ac:dyDescent="0.25">
      <c r="A1458" s="7" t="s">
        <v>2376</v>
      </c>
      <c r="B1458" s="7" t="s">
        <v>2466</v>
      </c>
      <c r="C1458" s="7"/>
      <c r="D1458" s="12" t="s">
        <v>2480</v>
      </c>
      <c r="E1458" s="8" t="s">
        <v>82</v>
      </c>
      <c r="F1458" s="13">
        <v>1E-3</v>
      </c>
      <c r="G1458" s="12"/>
    </row>
    <row r="1459" spans="1:7" x14ac:dyDescent="0.25">
      <c r="A1459" s="7" t="s">
        <v>2376</v>
      </c>
      <c r="B1459" s="7" t="s">
        <v>2466</v>
      </c>
      <c r="C1459" s="7"/>
      <c r="D1459" s="12" t="s">
        <v>2481</v>
      </c>
      <c r="E1459" s="8" t="s">
        <v>82</v>
      </c>
      <c r="F1459" s="13">
        <v>1E-3</v>
      </c>
      <c r="G1459" s="12"/>
    </row>
    <row r="1460" spans="1:7" x14ac:dyDescent="0.25">
      <c r="A1460" s="7" t="s">
        <v>2376</v>
      </c>
      <c r="B1460" s="7" t="s">
        <v>2466</v>
      </c>
      <c r="C1460" s="7"/>
      <c r="D1460" s="12" t="s">
        <v>2482</v>
      </c>
      <c r="E1460" s="8" t="s">
        <v>82</v>
      </c>
      <c r="F1460" s="13">
        <v>4.0000000000000001E-3</v>
      </c>
      <c r="G1460" s="12"/>
    </row>
    <row r="1461" spans="1:7" x14ac:dyDescent="0.25">
      <c r="A1461" s="7" t="s">
        <v>2376</v>
      </c>
      <c r="B1461" s="7" t="s">
        <v>2466</v>
      </c>
      <c r="C1461" s="7"/>
      <c r="D1461" s="12" t="s">
        <v>2483</v>
      </c>
      <c r="E1461" s="8" t="s">
        <v>82</v>
      </c>
      <c r="F1461" s="13">
        <v>1.2E-2</v>
      </c>
      <c r="G1461" s="12"/>
    </row>
    <row r="1462" spans="1:7" x14ac:dyDescent="0.25">
      <c r="A1462" s="7" t="s">
        <v>2376</v>
      </c>
      <c r="B1462" s="7" t="s">
        <v>2466</v>
      </c>
      <c r="C1462" s="7"/>
      <c r="D1462" s="12" t="s">
        <v>2484</v>
      </c>
      <c r="E1462" s="8" t="s">
        <v>82</v>
      </c>
      <c r="F1462" s="13">
        <v>1E-3</v>
      </c>
      <c r="G1462" s="12"/>
    </row>
    <row r="1463" spans="1:7" ht="25.5" x14ac:dyDescent="0.25">
      <c r="A1463" s="7" t="s">
        <v>2376</v>
      </c>
      <c r="B1463" s="7" t="s">
        <v>2466</v>
      </c>
      <c r="C1463" s="7"/>
      <c r="D1463" s="12" t="s">
        <v>2485</v>
      </c>
      <c r="E1463" s="8" t="s">
        <v>82</v>
      </c>
      <c r="F1463" s="13">
        <v>1E-3</v>
      </c>
      <c r="G1463" s="12"/>
    </row>
    <row r="1464" spans="1:7" ht="25.5" x14ac:dyDescent="0.25">
      <c r="A1464" s="7" t="s">
        <v>2376</v>
      </c>
      <c r="B1464" s="7" t="s">
        <v>2466</v>
      </c>
      <c r="C1464" s="7"/>
      <c r="D1464" s="12" t="s">
        <v>2486</v>
      </c>
      <c r="E1464" s="8" t="s">
        <v>82</v>
      </c>
      <c r="F1464" s="13">
        <v>1E-3</v>
      </c>
      <c r="G1464" s="12"/>
    </row>
    <row r="1465" spans="1:7" ht="25.5" x14ac:dyDescent="0.25">
      <c r="A1465" s="7" t="s">
        <v>2376</v>
      </c>
      <c r="B1465" s="7" t="s">
        <v>2466</v>
      </c>
      <c r="C1465" s="7"/>
      <c r="D1465" s="12" t="s">
        <v>2487</v>
      </c>
      <c r="E1465" s="8" t="s">
        <v>82</v>
      </c>
      <c r="F1465" s="13">
        <v>1E-3</v>
      </c>
      <c r="G1465" s="12"/>
    </row>
    <row r="1466" spans="1:7" x14ac:dyDescent="0.25">
      <c r="A1466" s="7" t="s">
        <v>2376</v>
      </c>
      <c r="B1466" s="7" t="s">
        <v>2466</v>
      </c>
      <c r="C1466" s="7"/>
      <c r="D1466" s="12" t="s">
        <v>2488</v>
      </c>
      <c r="E1466" s="8" t="s">
        <v>82</v>
      </c>
      <c r="F1466" s="13">
        <v>1E-3</v>
      </c>
      <c r="G1466" s="12"/>
    </row>
    <row r="1467" spans="1:7" x14ac:dyDescent="0.25">
      <c r="A1467" s="7" t="s">
        <v>2376</v>
      </c>
      <c r="B1467" s="7" t="s">
        <v>2466</v>
      </c>
      <c r="C1467" s="7"/>
      <c r="D1467" s="12" t="s">
        <v>2489</v>
      </c>
      <c r="E1467" s="8" t="s">
        <v>82</v>
      </c>
      <c r="F1467" s="13">
        <v>1E-3</v>
      </c>
      <c r="G1467" s="12"/>
    </row>
    <row r="1468" spans="1:7" x14ac:dyDescent="0.25">
      <c r="A1468" s="7" t="s">
        <v>2376</v>
      </c>
      <c r="B1468" s="7" t="s">
        <v>2466</v>
      </c>
      <c r="C1468" s="7"/>
      <c r="D1468" s="12" t="s">
        <v>2490</v>
      </c>
      <c r="E1468" s="8" t="s">
        <v>82</v>
      </c>
      <c r="F1468" s="13">
        <v>1E-3</v>
      </c>
      <c r="G1468" s="12"/>
    </row>
    <row r="1469" spans="1:7" x14ac:dyDescent="0.25">
      <c r="A1469" s="7" t="s">
        <v>2376</v>
      </c>
      <c r="B1469" s="7" t="s">
        <v>2466</v>
      </c>
      <c r="C1469" s="7"/>
      <c r="D1469" s="12" t="s">
        <v>2491</v>
      </c>
      <c r="E1469" s="8" t="s">
        <v>82</v>
      </c>
      <c r="F1469" s="13">
        <v>1E-3</v>
      </c>
      <c r="G1469" s="12"/>
    </row>
    <row r="1470" spans="1:7" x14ac:dyDescent="0.25">
      <c r="A1470" s="7" t="s">
        <v>2376</v>
      </c>
      <c r="B1470" s="7" t="s">
        <v>2466</v>
      </c>
      <c r="C1470" s="7"/>
      <c r="D1470" s="12" t="s">
        <v>2492</v>
      </c>
      <c r="E1470" s="8" t="s">
        <v>82</v>
      </c>
      <c r="F1470" s="13">
        <v>1E-3</v>
      </c>
      <c r="G1470" s="12"/>
    </row>
    <row r="1471" spans="1:7" x14ac:dyDescent="0.25">
      <c r="A1471" s="7" t="s">
        <v>2376</v>
      </c>
      <c r="B1471" s="7" t="s">
        <v>2466</v>
      </c>
      <c r="C1471" s="7"/>
      <c r="D1471" s="12" t="s">
        <v>2493</v>
      </c>
      <c r="E1471" s="8" t="s">
        <v>82</v>
      </c>
      <c r="F1471" s="13">
        <v>1E-3</v>
      </c>
      <c r="G1471" s="12"/>
    </row>
    <row r="1472" spans="1:7" x14ac:dyDescent="0.25">
      <c r="A1472" s="7" t="s">
        <v>2376</v>
      </c>
      <c r="B1472" s="7" t="s">
        <v>2466</v>
      </c>
      <c r="C1472" s="7"/>
      <c r="D1472" s="12" t="s">
        <v>2494</v>
      </c>
      <c r="E1472" s="8" t="s">
        <v>82</v>
      </c>
      <c r="F1472" s="13">
        <v>1E-3</v>
      </c>
      <c r="G1472" s="12"/>
    </row>
    <row r="1473" spans="1:7" ht="25.5" x14ac:dyDescent="0.25">
      <c r="A1473" s="7" t="s">
        <v>2376</v>
      </c>
      <c r="B1473" s="7" t="s">
        <v>2466</v>
      </c>
      <c r="C1473" s="7"/>
      <c r="D1473" s="12" t="s">
        <v>2495</v>
      </c>
      <c r="E1473" s="8" t="s">
        <v>82</v>
      </c>
      <c r="F1473" s="13">
        <v>8.0000000000000002E-3</v>
      </c>
      <c r="G1473" s="12"/>
    </row>
    <row r="1474" spans="1:7" ht="25.5" x14ac:dyDescent="0.25">
      <c r="A1474" s="7" t="s">
        <v>2376</v>
      </c>
      <c r="B1474" s="7" t="s">
        <v>2466</v>
      </c>
      <c r="C1474" s="7"/>
      <c r="D1474" s="12" t="s">
        <v>2496</v>
      </c>
      <c r="E1474" s="8" t="s">
        <v>82</v>
      </c>
      <c r="F1474" s="13">
        <v>8.0000000000000002E-3</v>
      </c>
      <c r="G1474" s="12"/>
    </row>
    <row r="1475" spans="1:7" ht="25.5" x14ac:dyDescent="0.25">
      <c r="A1475" s="7" t="s">
        <v>2376</v>
      </c>
      <c r="B1475" s="7" t="s">
        <v>2466</v>
      </c>
      <c r="C1475" s="7"/>
      <c r="D1475" s="12" t="s">
        <v>2497</v>
      </c>
      <c r="E1475" s="8" t="s">
        <v>82</v>
      </c>
      <c r="F1475" s="13">
        <v>1.2999999999999999E-2</v>
      </c>
      <c r="G1475" s="12"/>
    </row>
    <row r="1476" spans="1:7" ht="25.5" x14ac:dyDescent="0.25">
      <c r="A1476" s="7" t="s">
        <v>2376</v>
      </c>
      <c r="B1476" s="7" t="s">
        <v>2466</v>
      </c>
      <c r="C1476" s="7"/>
      <c r="D1476" s="12" t="s">
        <v>2498</v>
      </c>
      <c r="E1476" s="8" t="s">
        <v>82</v>
      </c>
      <c r="F1476" s="13">
        <v>8.9999999999999993E-3</v>
      </c>
      <c r="G1476" s="12"/>
    </row>
    <row r="1477" spans="1:7" ht="25.5" x14ac:dyDescent="0.25">
      <c r="A1477" s="7" t="s">
        <v>2376</v>
      </c>
      <c r="B1477" s="7" t="s">
        <v>2466</v>
      </c>
      <c r="C1477" s="7"/>
      <c r="D1477" s="12" t="s">
        <v>2499</v>
      </c>
      <c r="E1477" s="8" t="s">
        <v>82</v>
      </c>
      <c r="F1477" s="13">
        <v>8.9999999999999993E-3</v>
      </c>
      <c r="G1477" s="12"/>
    </row>
    <row r="1478" spans="1:7" x14ac:dyDescent="0.25">
      <c r="A1478" s="7" t="s">
        <v>2376</v>
      </c>
      <c r="B1478" s="7" t="s">
        <v>2466</v>
      </c>
      <c r="C1478" s="7"/>
      <c r="D1478" s="12" t="s">
        <v>2500</v>
      </c>
      <c r="E1478" s="8" t="s">
        <v>82</v>
      </c>
      <c r="F1478" s="13">
        <v>7.0000000000000001E-3</v>
      </c>
      <c r="G1478" s="12"/>
    </row>
    <row r="1479" spans="1:7" x14ac:dyDescent="0.25">
      <c r="A1479" s="7" t="s">
        <v>2376</v>
      </c>
      <c r="B1479" s="7" t="s">
        <v>2466</v>
      </c>
      <c r="C1479" s="7"/>
      <c r="D1479" s="12" t="s">
        <v>2501</v>
      </c>
      <c r="E1479" s="8" t="s">
        <v>82</v>
      </c>
      <c r="F1479" s="13">
        <v>5.0000000000000001E-3</v>
      </c>
      <c r="G1479" s="12"/>
    </row>
    <row r="1480" spans="1:7" x14ac:dyDescent="0.25">
      <c r="A1480" s="7" t="s">
        <v>2376</v>
      </c>
      <c r="B1480" s="7" t="s">
        <v>2466</v>
      </c>
      <c r="C1480" s="7"/>
      <c r="D1480" s="12" t="s">
        <v>2502</v>
      </c>
      <c r="E1480" s="8" t="s">
        <v>82</v>
      </c>
      <c r="F1480" s="13">
        <v>4.0000000000000001E-3</v>
      </c>
      <c r="G1480" s="12"/>
    </row>
    <row r="1481" spans="1:7" x14ac:dyDescent="0.25">
      <c r="A1481" s="7" t="s">
        <v>2376</v>
      </c>
      <c r="B1481" s="7" t="s">
        <v>2466</v>
      </c>
      <c r="C1481" s="7"/>
      <c r="D1481" s="12" t="s">
        <v>2503</v>
      </c>
      <c r="E1481" s="8" t="s">
        <v>82</v>
      </c>
      <c r="F1481" s="13">
        <v>4.0000000000000001E-3</v>
      </c>
      <c r="G1481" s="12"/>
    </row>
    <row r="1482" spans="1:7" x14ac:dyDescent="0.25">
      <c r="A1482" s="7" t="s">
        <v>2376</v>
      </c>
      <c r="B1482" s="7" t="s">
        <v>2466</v>
      </c>
      <c r="C1482" s="7"/>
      <c r="D1482" s="12" t="s">
        <v>2504</v>
      </c>
      <c r="E1482" s="8" t="s">
        <v>82</v>
      </c>
      <c r="F1482" s="13">
        <v>1E-3</v>
      </c>
      <c r="G1482" s="12"/>
    </row>
    <row r="1483" spans="1:7" ht="25.5" x14ac:dyDescent="0.25">
      <c r="A1483" s="7" t="s">
        <v>2376</v>
      </c>
      <c r="B1483" s="7" t="s">
        <v>2466</v>
      </c>
      <c r="C1483" s="7"/>
      <c r="D1483" s="12" t="s">
        <v>2505</v>
      </c>
      <c r="E1483" s="8" t="s">
        <v>82</v>
      </c>
      <c r="F1483" s="13">
        <v>7.0000000000000001E-3</v>
      </c>
      <c r="G1483" s="12"/>
    </row>
    <row r="1484" spans="1:7" x14ac:dyDescent="0.25">
      <c r="A1484" s="7" t="s">
        <v>2376</v>
      </c>
      <c r="B1484" s="7" t="s">
        <v>2466</v>
      </c>
      <c r="C1484" s="7"/>
      <c r="D1484" s="12" t="s">
        <v>2506</v>
      </c>
      <c r="E1484" s="8" t="s">
        <v>82</v>
      </c>
      <c r="F1484" s="13">
        <v>1E-3</v>
      </c>
      <c r="G1484" s="12"/>
    </row>
    <row r="1485" spans="1:7" x14ac:dyDescent="0.25">
      <c r="A1485" s="7" t="s">
        <v>2376</v>
      </c>
      <c r="B1485" s="7" t="s">
        <v>2507</v>
      </c>
      <c r="C1485" s="7"/>
      <c r="D1485" s="12" t="s">
        <v>2508</v>
      </c>
      <c r="E1485" s="8" t="s">
        <v>82</v>
      </c>
      <c r="F1485" s="13">
        <v>1E-3</v>
      </c>
      <c r="G1485" s="12"/>
    </row>
    <row r="1486" spans="1:7" x14ac:dyDescent="0.25">
      <c r="A1486" s="7" t="s">
        <v>2376</v>
      </c>
      <c r="B1486" s="7" t="s">
        <v>2507</v>
      </c>
      <c r="C1486" s="7"/>
      <c r="D1486" s="12" t="s">
        <v>2509</v>
      </c>
      <c r="E1486" s="8" t="s">
        <v>82</v>
      </c>
      <c r="F1486" s="13">
        <v>1E-3</v>
      </c>
      <c r="G1486" s="12"/>
    </row>
    <row r="1487" spans="1:7" x14ac:dyDescent="0.25">
      <c r="A1487" s="7" t="s">
        <v>2376</v>
      </c>
      <c r="B1487" s="7" t="s">
        <v>2507</v>
      </c>
      <c r="C1487" s="7"/>
      <c r="D1487" s="12" t="s">
        <v>2510</v>
      </c>
      <c r="E1487" s="8" t="s">
        <v>82</v>
      </c>
      <c r="F1487" s="13">
        <v>1E-3</v>
      </c>
      <c r="G1487" s="12"/>
    </row>
    <row r="1488" spans="1:7" x14ac:dyDescent="0.25">
      <c r="A1488" s="7" t="s">
        <v>2376</v>
      </c>
      <c r="B1488" s="7" t="s">
        <v>2507</v>
      </c>
      <c r="C1488" s="7"/>
      <c r="D1488" s="12" t="s">
        <v>2511</v>
      </c>
      <c r="E1488" s="8" t="s">
        <v>82</v>
      </c>
      <c r="F1488" s="13">
        <v>1E-3</v>
      </c>
      <c r="G1488" s="12"/>
    </row>
    <row r="1489" spans="1:7" x14ac:dyDescent="0.25">
      <c r="A1489" s="7" t="s">
        <v>2376</v>
      </c>
      <c r="B1489" s="7" t="s">
        <v>2507</v>
      </c>
      <c r="C1489" s="7"/>
      <c r="D1489" s="12" t="s">
        <v>2512</v>
      </c>
      <c r="E1489" s="8" t="s">
        <v>82</v>
      </c>
      <c r="F1489" s="13">
        <v>1E-3</v>
      </c>
      <c r="G1489" s="12"/>
    </row>
    <row r="1490" spans="1:7" x14ac:dyDescent="0.25">
      <c r="A1490" s="7" t="s">
        <v>2376</v>
      </c>
      <c r="B1490" s="7" t="s">
        <v>2507</v>
      </c>
      <c r="C1490" s="7"/>
      <c r="D1490" s="12" t="s">
        <v>2513</v>
      </c>
      <c r="E1490" s="8" t="s">
        <v>82</v>
      </c>
      <c r="F1490" s="13">
        <v>1E-3</v>
      </c>
      <c r="G1490" s="12"/>
    </row>
    <row r="1491" spans="1:7" x14ac:dyDescent="0.25">
      <c r="A1491" s="7" t="s">
        <v>2376</v>
      </c>
      <c r="B1491" s="7" t="s">
        <v>2507</v>
      </c>
      <c r="C1491" s="7"/>
      <c r="D1491" s="12" t="s">
        <v>2514</v>
      </c>
      <c r="E1491" s="8" t="s">
        <v>82</v>
      </c>
      <c r="F1491" s="13">
        <v>1E-3</v>
      </c>
      <c r="G1491" s="12"/>
    </row>
    <row r="1492" spans="1:7" x14ac:dyDescent="0.25">
      <c r="A1492" s="7" t="s">
        <v>2376</v>
      </c>
      <c r="B1492" s="7" t="s">
        <v>2507</v>
      </c>
      <c r="C1492" s="7"/>
      <c r="D1492" s="12" t="s">
        <v>2515</v>
      </c>
      <c r="E1492" s="8" t="s">
        <v>82</v>
      </c>
      <c r="F1492" s="13">
        <v>1E-3</v>
      </c>
      <c r="G1492" s="12"/>
    </row>
    <row r="1493" spans="1:7" x14ac:dyDescent="0.25">
      <c r="A1493" s="7" t="s">
        <v>2376</v>
      </c>
      <c r="B1493" s="7" t="s">
        <v>2507</v>
      </c>
      <c r="C1493" s="7"/>
      <c r="D1493" s="12" t="s">
        <v>2516</v>
      </c>
      <c r="E1493" s="8" t="s">
        <v>82</v>
      </c>
      <c r="F1493" s="13">
        <v>1E-3</v>
      </c>
      <c r="G1493" s="12"/>
    </row>
    <row r="1494" spans="1:7" x14ac:dyDescent="0.25">
      <c r="A1494" s="7" t="s">
        <v>2376</v>
      </c>
      <c r="B1494" s="7" t="s">
        <v>2507</v>
      </c>
      <c r="C1494" s="7"/>
      <c r="D1494" s="12" t="s">
        <v>2517</v>
      </c>
      <c r="E1494" s="8" t="s">
        <v>82</v>
      </c>
      <c r="F1494" s="13">
        <v>1E-3</v>
      </c>
      <c r="G1494" s="12"/>
    </row>
    <row r="1495" spans="1:7" x14ac:dyDescent="0.25">
      <c r="A1495" s="7" t="s">
        <v>2376</v>
      </c>
      <c r="B1495" s="7" t="s">
        <v>2507</v>
      </c>
      <c r="C1495" s="7"/>
      <c r="D1495" s="12" t="s">
        <v>2518</v>
      </c>
      <c r="E1495" s="8" t="s">
        <v>82</v>
      </c>
      <c r="F1495" s="13">
        <v>1E-3</v>
      </c>
      <c r="G1495" s="12"/>
    </row>
    <row r="1496" spans="1:7" x14ac:dyDescent="0.25">
      <c r="A1496" s="7" t="s">
        <v>2376</v>
      </c>
      <c r="B1496" s="7" t="s">
        <v>2507</v>
      </c>
      <c r="C1496" s="7"/>
      <c r="D1496" s="12" t="s">
        <v>2519</v>
      </c>
      <c r="E1496" s="8" t="s">
        <v>82</v>
      </c>
      <c r="F1496" s="13">
        <v>1E-3</v>
      </c>
      <c r="G1496" s="12"/>
    </row>
    <row r="1497" spans="1:7" x14ac:dyDescent="0.25">
      <c r="A1497" s="7" t="s">
        <v>2376</v>
      </c>
      <c r="B1497" s="7" t="s">
        <v>2507</v>
      </c>
      <c r="C1497" s="7"/>
      <c r="D1497" s="12" t="s">
        <v>2520</v>
      </c>
      <c r="E1497" s="8" t="s">
        <v>82</v>
      </c>
      <c r="F1497" s="13">
        <v>1E-3</v>
      </c>
      <c r="G1497" s="12"/>
    </row>
    <row r="1498" spans="1:7" x14ac:dyDescent="0.25">
      <c r="A1498" s="7" t="s">
        <v>2376</v>
      </c>
      <c r="B1498" s="7" t="s">
        <v>2507</v>
      </c>
      <c r="C1498" s="7"/>
      <c r="D1498" s="12" t="s">
        <v>2521</v>
      </c>
      <c r="E1498" s="8" t="s">
        <v>82</v>
      </c>
      <c r="F1498" s="13">
        <v>1E-3</v>
      </c>
      <c r="G1498" s="12"/>
    </row>
    <row r="1499" spans="1:7" x14ac:dyDescent="0.25">
      <c r="A1499" s="7" t="s">
        <v>2376</v>
      </c>
      <c r="B1499" s="7" t="s">
        <v>2507</v>
      </c>
      <c r="C1499" s="7"/>
      <c r="D1499" s="12" t="s">
        <v>2522</v>
      </c>
      <c r="E1499" s="8" t="s">
        <v>82</v>
      </c>
      <c r="F1499" s="13">
        <v>1.0999999999999999E-2</v>
      </c>
      <c r="G1499" s="12"/>
    </row>
    <row r="1500" spans="1:7" x14ac:dyDescent="0.25">
      <c r="A1500" s="7" t="s">
        <v>2376</v>
      </c>
      <c r="B1500" s="7" t="s">
        <v>2507</v>
      </c>
      <c r="C1500" s="7"/>
      <c r="D1500" s="12" t="s">
        <v>2523</v>
      </c>
      <c r="E1500" s="8" t="s">
        <v>82</v>
      </c>
      <c r="F1500" s="13">
        <v>1E-3</v>
      </c>
      <c r="G1500" s="12"/>
    </row>
    <row r="1501" spans="1:7" x14ac:dyDescent="0.25">
      <c r="A1501" s="7" t="s">
        <v>2376</v>
      </c>
      <c r="B1501" s="7" t="s">
        <v>2524</v>
      </c>
      <c r="C1501" s="7"/>
      <c r="D1501" s="12" t="s">
        <v>2525</v>
      </c>
      <c r="E1501" s="8" t="s">
        <v>82</v>
      </c>
      <c r="F1501" s="13">
        <v>1E-3</v>
      </c>
      <c r="G1501" s="12"/>
    </row>
    <row r="1502" spans="1:7" x14ac:dyDescent="0.25">
      <c r="A1502" s="7" t="s">
        <v>2376</v>
      </c>
      <c r="B1502" s="7" t="s">
        <v>2524</v>
      </c>
      <c r="C1502" s="7"/>
      <c r="D1502" s="12" t="s">
        <v>2526</v>
      </c>
      <c r="E1502" s="8" t="s">
        <v>82</v>
      </c>
      <c r="F1502" s="13">
        <v>1E-3</v>
      </c>
      <c r="G1502" s="12"/>
    </row>
    <row r="1503" spans="1:7" ht="25.5" x14ac:dyDescent="0.25">
      <c r="A1503" s="7" t="s">
        <v>2376</v>
      </c>
      <c r="B1503" s="7" t="s">
        <v>2524</v>
      </c>
      <c r="C1503" s="7"/>
      <c r="D1503" s="12" t="s">
        <v>2527</v>
      </c>
      <c r="E1503" s="8" t="s">
        <v>82</v>
      </c>
      <c r="F1503" s="13">
        <v>1E-3</v>
      </c>
      <c r="G1503" s="12"/>
    </row>
    <row r="1504" spans="1:7" x14ac:dyDescent="0.25">
      <c r="A1504" s="7" t="s">
        <v>2376</v>
      </c>
      <c r="B1504" s="7" t="s">
        <v>2524</v>
      </c>
      <c r="C1504" s="7"/>
      <c r="D1504" s="12" t="s">
        <v>2528</v>
      </c>
      <c r="E1504" s="8" t="s">
        <v>82</v>
      </c>
      <c r="F1504" s="13">
        <v>1E-3</v>
      </c>
      <c r="G1504" s="12"/>
    </row>
    <row r="1505" spans="1:7" x14ac:dyDescent="0.25">
      <c r="A1505" s="7" t="s">
        <v>2376</v>
      </c>
      <c r="B1505" s="7" t="s">
        <v>2524</v>
      </c>
      <c r="C1505" s="7"/>
      <c r="D1505" s="12" t="s">
        <v>2529</v>
      </c>
      <c r="E1505" s="8" t="s">
        <v>82</v>
      </c>
      <c r="F1505" s="13">
        <v>2E-3</v>
      </c>
      <c r="G1505" s="12"/>
    </row>
    <row r="1506" spans="1:7" x14ac:dyDescent="0.25">
      <c r="A1506" s="7" t="s">
        <v>2376</v>
      </c>
      <c r="B1506" s="7" t="s">
        <v>2524</v>
      </c>
      <c r="C1506" s="7"/>
      <c r="D1506" s="12" t="s">
        <v>2530</v>
      </c>
      <c r="E1506" s="8" t="s">
        <v>82</v>
      </c>
      <c r="F1506" s="13">
        <v>2E-3</v>
      </c>
      <c r="G1506" s="12"/>
    </row>
    <row r="1507" spans="1:7" x14ac:dyDescent="0.25">
      <c r="A1507" s="7" t="s">
        <v>2376</v>
      </c>
      <c r="B1507" s="7" t="s">
        <v>2524</v>
      </c>
      <c r="C1507" s="7"/>
      <c r="D1507" s="12" t="s">
        <v>2531</v>
      </c>
      <c r="E1507" s="8" t="s">
        <v>82</v>
      </c>
      <c r="F1507" s="13">
        <v>2E-3</v>
      </c>
      <c r="G1507" s="12"/>
    </row>
    <row r="1508" spans="1:7" ht="25.5" x14ac:dyDescent="0.25">
      <c r="A1508" s="7" t="s">
        <v>2376</v>
      </c>
      <c r="B1508" s="7" t="s">
        <v>2524</v>
      </c>
      <c r="C1508" s="7"/>
      <c r="D1508" s="12" t="s">
        <v>2532</v>
      </c>
      <c r="E1508" s="8" t="s">
        <v>82</v>
      </c>
      <c r="F1508" s="13">
        <v>2E-3</v>
      </c>
      <c r="G1508" s="12"/>
    </row>
    <row r="1509" spans="1:7" x14ac:dyDescent="0.25">
      <c r="A1509" s="7" t="s">
        <v>2376</v>
      </c>
      <c r="B1509" s="7" t="s">
        <v>2524</v>
      </c>
      <c r="C1509" s="7"/>
      <c r="D1509" s="12" t="s">
        <v>2533</v>
      </c>
      <c r="E1509" s="8" t="s">
        <v>82</v>
      </c>
      <c r="F1509" s="13">
        <v>1E-3</v>
      </c>
      <c r="G1509" s="12"/>
    </row>
    <row r="1510" spans="1:7" x14ac:dyDescent="0.25">
      <c r="A1510" s="7" t="s">
        <v>2376</v>
      </c>
      <c r="B1510" s="7" t="s">
        <v>2524</v>
      </c>
      <c r="C1510" s="7"/>
      <c r="D1510" s="12" t="s">
        <v>2534</v>
      </c>
      <c r="E1510" s="8" t="s">
        <v>82</v>
      </c>
      <c r="F1510" s="13">
        <v>1E-3</v>
      </c>
      <c r="G1510" s="12"/>
    </row>
    <row r="1511" spans="1:7" x14ac:dyDescent="0.25">
      <c r="A1511" s="7" t="s">
        <v>2376</v>
      </c>
      <c r="B1511" s="7" t="s">
        <v>2524</v>
      </c>
      <c r="C1511" s="7"/>
      <c r="D1511" s="12" t="s">
        <v>2535</v>
      </c>
      <c r="E1511" s="8" t="s">
        <v>82</v>
      </c>
      <c r="F1511" s="13">
        <v>1E-3</v>
      </c>
      <c r="G1511" s="12"/>
    </row>
    <row r="1512" spans="1:7" x14ac:dyDescent="0.25">
      <c r="A1512" s="7" t="s">
        <v>2376</v>
      </c>
      <c r="B1512" s="7" t="s">
        <v>2524</v>
      </c>
      <c r="C1512" s="7"/>
      <c r="D1512" s="12" t="s">
        <v>2536</v>
      </c>
      <c r="E1512" s="8" t="s">
        <v>82</v>
      </c>
      <c r="F1512" s="13">
        <v>1E-3</v>
      </c>
      <c r="G1512" s="12"/>
    </row>
    <row r="1513" spans="1:7" x14ac:dyDescent="0.25">
      <c r="A1513" s="7" t="s">
        <v>2376</v>
      </c>
      <c r="B1513" s="7" t="s">
        <v>2524</v>
      </c>
      <c r="C1513" s="7"/>
      <c r="D1513" s="12" t="s">
        <v>2537</v>
      </c>
      <c r="E1513" s="8" t="s">
        <v>82</v>
      </c>
      <c r="F1513" s="13">
        <v>2E-3</v>
      </c>
      <c r="G1513" s="12"/>
    </row>
    <row r="1514" spans="1:7" x14ac:dyDescent="0.25">
      <c r="A1514" s="7" t="s">
        <v>2376</v>
      </c>
      <c r="B1514" s="7" t="s">
        <v>2524</v>
      </c>
      <c r="C1514" s="7"/>
      <c r="D1514" s="12" t="s">
        <v>2538</v>
      </c>
      <c r="E1514" s="8" t="s">
        <v>82</v>
      </c>
      <c r="F1514" s="13">
        <v>2E-3</v>
      </c>
      <c r="G1514" s="12"/>
    </row>
    <row r="1515" spans="1:7" x14ac:dyDescent="0.25">
      <c r="A1515" s="7" t="s">
        <v>2376</v>
      </c>
      <c r="B1515" s="7" t="s">
        <v>2524</v>
      </c>
      <c r="C1515" s="7"/>
      <c r="D1515" s="12" t="s">
        <v>2539</v>
      </c>
      <c r="E1515" s="8" t="s">
        <v>82</v>
      </c>
      <c r="F1515" s="13">
        <v>2E-3</v>
      </c>
      <c r="G1515" s="12"/>
    </row>
    <row r="1516" spans="1:7" ht="25.5" x14ac:dyDescent="0.25">
      <c r="A1516" s="7" t="s">
        <v>2376</v>
      </c>
      <c r="B1516" s="7" t="s">
        <v>2524</v>
      </c>
      <c r="C1516" s="7"/>
      <c r="D1516" s="12" t="s">
        <v>2540</v>
      </c>
      <c r="E1516" s="8" t="s">
        <v>82</v>
      </c>
      <c r="F1516" s="13">
        <v>2E-3</v>
      </c>
      <c r="G1516" s="12"/>
    </row>
    <row r="1517" spans="1:7" x14ac:dyDescent="0.25">
      <c r="A1517" s="7" t="s">
        <v>2376</v>
      </c>
      <c r="B1517" s="7" t="s">
        <v>2524</v>
      </c>
      <c r="C1517" s="7"/>
      <c r="D1517" s="12" t="s">
        <v>2541</v>
      </c>
      <c r="E1517" s="8" t="s">
        <v>82</v>
      </c>
      <c r="F1517" s="13">
        <v>1E-3</v>
      </c>
      <c r="G1517" s="12"/>
    </row>
    <row r="1518" spans="1:7" x14ac:dyDescent="0.25">
      <c r="A1518" s="7" t="s">
        <v>2376</v>
      </c>
      <c r="B1518" s="7" t="s">
        <v>2524</v>
      </c>
      <c r="C1518" s="7"/>
      <c r="D1518" s="12" t="s">
        <v>2542</v>
      </c>
      <c r="E1518" s="8" t="s">
        <v>82</v>
      </c>
      <c r="F1518" s="13">
        <v>1E-3</v>
      </c>
      <c r="G1518" s="12"/>
    </row>
    <row r="1519" spans="1:7" x14ac:dyDescent="0.25">
      <c r="A1519" s="7" t="s">
        <v>2376</v>
      </c>
      <c r="B1519" s="7" t="s">
        <v>2524</v>
      </c>
      <c r="C1519" s="7"/>
      <c r="D1519" s="12" t="s">
        <v>2543</v>
      </c>
      <c r="E1519" s="8" t="s">
        <v>82</v>
      </c>
      <c r="F1519" s="13">
        <v>2E-3</v>
      </c>
      <c r="G1519" s="12"/>
    </row>
    <row r="1520" spans="1:7" x14ac:dyDescent="0.25">
      <c r="A1520" s="7" t="s">
        <v>2376</v>
      </c>
      <c r="B1520" s="7" t="s">
        <v>2524</v>
      </c>
      <c r="C1520" s="7"/>
      <c r="D1520" s="12" t="s">
        <v>2544</v>
      </c>
      <c r="E1520" s="8" t="s">
        <v>82</v>
      </c>
      <c r="F1520" s="13">
        <v>2E-3</v>
      </c>
      <c r="G1520" s="12"/>
    </row>
    <row r="1521" spans="1:7" x14ac:dyDescent="0.25">
      <c r="A1521" s="7" t="s">
        <v>2376</v>
      </c>
      <c r="B1521" s="7" t="s">
        <v>2524</v>
      </c>
      <c r="C1521" s="7"/>
      <c r="D1521" s="12" t="s">
        <v>1387</v>
      </c>
      <c r="E1521" s="8" t="s">
        <v>82</v>
      </c>
      <c r="F1521" s="13">
        <v>2E-3</v>
      </c>
      <c r="G1521" s="12"/>
    </row>
    <row r="1522" spans="1:7" x14ac:dyDescent="0.25">
      <c r="A1522" s="7" t="s">
        <v>2376</v>
      </c>
      <c r="B1522" s="7" t="s">
        <v>2524</v>
      </c>
      <c r="C1522" s="7"/>
      <c r="D1522" s="12" t="s">
        <v>2545</v>
      </c>
      <c r="E1522" s="8" t="s">
        <v>82</v>
      </c>
      <c r="F1522" s="13">
        <v>2E-3</v>
      </c>
      <c r="G1522" s="12"/>
    </row>
    <row r="1523" spans="1:7" x14ac:dyDescent="0.25">
      <c r="A1523" s="7" t="s">
        <v>2376</v>
      </c>
      <c r="B1523" s="7" t="s">
        <v>2524</v>
      </c>
      <c r="C1523" s="7"/>
      <c r="D1523" s="12" t="s">
        <v>2546</v>
      </c>
      <c r="E1523" s="8" t="s">
        <v>82</v>
      </c>
      <c r="F1523" s="13">
        <v>2E-3</v>
      </c>
      <c r="G1523" s="12"/>
    </row>
    <row r="1524" spans="1:7" x14ac:dyDescent="0.25">
      <c r="A1524" s="7" t="s">
        <v>2376</v>
      </c>
      <c r="B1524" s="7" t="s">
        <v>2524</v>
      </c>
      <c r="C1524" s="7"/>
      <c r="D1524" s="12" t="s">
        <v>2547</v>
      </c>
      <c r="E1524" s="8" t="s">
        <v>82</v>
      </c>
      <c r="F1524" s="13">
        <v>2E-3</v>
      </c>
      <c r="G1524" s="12"/>
    </row>
    <row r="1525" spans="1:7" x14ac:dyDescent="0.25">
      <c r="A1525" s="7" t="s">
        <v>2376</v>
      </c>
      <c r="B1525" s="7" t="s">
        <v>2524</v>
      </c>
      <c r="C1525" s="7"/>
      <c r="D1525" s="12" t="s">
        <v>2548</v>
      </c>
      <c r="E1525" s="8" t="s">
        <v>82</v>
      </c>
      <c r="F1525" s="13">
        <v>2E-3</v>
      </c>
      <c r="G1525" s="12"/>
    </row>
    <row r="1526" spans="1:7" x14ac:dyDescent="0.25">
      <c r="A1526" s="7" t="s">
        <v>2376</v>
      </c>
      <c r="B1526" s="7" t="s">
        <v>2524</v>
      </c>
      <c r="C1526" s="7"/>
      <c r="D1526" s="12" t="s">
        <v>2549</v>
      </c>
      <c r="E1526" s="8" t="s">
        <v>82</v>
      </c>
      <c r="F1526" s="13">
        <v>2E-3</v>
      </c>
      <c r="G1526" s="12"/>
    </row>
    <row r="1527" spans="1:7" x14ac:dyDescent="0.25">
      <c r="A1527" s="7" t="s">
        <v>2376</v>
      </c>
      <c r="B1527" s="7" t="s">
        <v>2524</v>
      </c>
      <c r="C1527" s="7"/>
      <c r="D1527" s="12" t="s">
        <v>2550</v>
      </c>
      <c r="E1527" s="8" t="s">
        <v>82</v>
      </c>
      <c r="F1527" s="13">
        <v>2E-3</v>
      </c>
      <c r="G1527" s="12"/>
    </row>
    <row r="1528" spans="1:7" x14ac:dyDescent="0.25">
      <c r="A1528" s="7" t="s">
        <v>2376</v>
      </c>
      <c r="B1528" s="7" t="s">
        <v>2524</v>
      </c>
      <c r="C1528" s="7"/>
      <c r="D1528" s="12" t="s">
        <v>2551</v>
      </c>
      <c r="E1528" s="8" t="s">
        <v>82</v>
      </c>
      <c r="F1528" s="13">
        <v>1E-3</v>
      </c>
      <c r="G1528" s="12"/>
    </row>
    <row r="1529" spans="1:7" x14ac:dyDescent="0.25">
      <c r="A1529" s="7" t="s">
        <v>2376</v>
      </c>
      <c r="B1529" s="7" t="s">
        <v>2524</v>
      </c>
      <c r="C1529" s="7"/>
      <c r="D1529" s="12" t="s">
        <v>2552</v>
      </c>
      <c r="E1529" s="8" t="s">
        <v>82</v>
      </c>
      <c r="F1529" s="13">
        <v>1E-3</v>
      </c>
      <c r="G1529" s="12"/>
    </row>
    <row r="1530" spans="1:7" x14ac:dyDescent="0.25">
      <c r="A1530" s="7" t="s">
        <v>2376</v>
      </c>
      <c r="B1530" s="7" t="s">
        <v>2524</v>
      </c>
      <c r="C1530" s="7"/>
      <c r="D1530" s="12" t="s">
        <v>2553</v>
      </c>
      <c r="E1530" s="8" t="s">
        <v>82</v>
      </c>
      <c r="F1530" s="13">
        <v>1E-3</v>
      </c>
      <c r="G1530" s="12"/>
    </row>
    <row r="1531" spans="1:7" x14ac:dyDescent="0.25">
      <c r="A1531" s="7" t="s">
        <v>2376</v>
      </c>
      <c r="B1531" s="7" t="s">
        <v>2524</v>
      </c>
      <c r="C1531" s="7"/>
      <c r="D1531" s="12" t="s">
        <v>2554</v>
      </c>
      <c r="E1531" s="8" t="s">
        <v>82</v>
      </c>
      <c r="F1531" s="13">
        <v>1E-3</v>
      </c>
      <c r="G1531" s="12"/>
    </row>
    <row r="1532" spans="1:7" x14ac:dyDescent="0.25">
      <c r="A1532" s="7" t="s">
        <v>2376</v>
      </c>
      <c r="B1532" s="7" t="s">
        <v>2524</v>
      </c>
      <c r="C1532" s="7"/>
      <c r="D1532" s="12" t="s">
        <v>2555</v>
      </c>
      <c r="E1532" s="8" t="s">
        <v>82</v>
      </c>
      <c r="F1532" s="13">
        <v>1E-3</v>
      </c>
      <c r="G1532" s="12"/>
    </row>
    <row r="1533" spans="1:7" ht="25.5" x14ac:dyDescent="0.25">
      <c r="A1533" s="7" t="s">
        <v>2376</v>
      </c>
      <c r="B1533" s="7" t="s">
        <v>2524</v>
      </c>
      <c r="C1533" s="7"/>
      <c r="D1533" s="12" t="s">
        <v>2556</v>
      </c>
      <c r="E1533" s="8" t="s">
        <v>82</v>
      </c>
      <c r="F1533" s="13">
        <v>3.0000000000000001E-3</v>
      </c>
      <c r="G1533" s="12"/>
    </row>
    <row r="1534" spans="1:7" ht="25.5" x14ac:dyDescent="0.25">
      <c r="A1534" s="7" t="s">
        <v>1153</v>
      </c>
      <c r="B1534" s="7" t="s">
        <v>1218</v>
      </c>
      <c r="C1534" s="7"/>
      <c r="D1534" s="12" t="s">
        <v>2557</v>
      </c>
      <c r="E1534" s="8" t="s">
        <v>86</v>
      </c>
      <c r="F1534" s="13"/>
      <c r="G1534" s="12" t="s">
        <v>2558</v>
      </c>
    </row>
  </sheetData>
  <autoFilter ref="A1:G1534" xr:uid="{00000000-0009-0000-0000-000005000000}"/>
  <conditionalFormatting sqref="E2:E1534">
    <cfRule type="expression" dxfId="7" priority="1">
      <formula>$E2="Geçti"</formula>
    </cfRule>
    <cfRule type="expression" dxfId="6" priority="2">
      <formula>$E2="Beklenen hata (xfail)"</formula>
    </cfRule>
    <cfRule type="expression" dxfId="5" priority="3">
      <formula>$E2="Atlandı"</formula>
    </cfRule>
    <cfRule type="expression" dxfId="4" priority="4">
      <formula>$E2="Başarısız"</formula>
    </cfRule>
    <cfRule type="expression" dxfId="3" priority="5">
      <formula>$E2="Seçilmedi (integration)"</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showGridLines="0" workbookViewId="0"/>
  </sheetViews>
  <sheetFormatPr defaultRowHeight="15" x14ac:dyDescent="0.25"/>
  <cols>
    <col min="1" max="1" width="40" customWidth="1"/>
    <col min="2" max="4" width="10" customWidth="1"/>
    <col min="5" max="5" width="14" customWidth="1"/>
    <col min="6" max="6" width="10" customWidth="1"/>
    <col min="7" max="7" width="12" customWidth="1"/>
    <col min="8" max="8" width="16" customWidth="1"/>
  </cols>
  <sheetData>
    <row r="1" spans="1:8" ht="18" x14ac:dyDescent="0.25">
      <c r="A1" s="24" t="s">
        <v>2559</v>
      </c>
    </row>
    <row r="2" spans="1:8" x14ac:dyDescent="0.25">
      <c r="A2" s="2" t="s">
        <v>2560</v>
      </c>
    </row>
    <row r="4" spans="1:8" ht="30" customHeight="1" x14ac:dyDescent="0.25">
      <c r="A4" s="6" t="s">
        <v>2561</v>
      </c>
      <c r="B4" s="6" t="s">
        <v>884</v>
      </c>
      <c r="C4" s="6" t="s">
        <v>2562</v>
      </c>
      <c r="D4" s="6" t="s">
        <v>82</v>
      </c>
      <c r="E4" s="6" t="s">
        <v>2563</v>
      </c>
      <c r="F4" s="6" t="s">
        <v>84</v>
      </c>
      <c r="G4" s="6" t="s">
        <v>85</v>
      </c>
      <c r="H4" s="6" t="s">
        <v>86</v>
      </c>
    </row>
    <row r="5" spans="1:8" x14ac:dyDescent="0.25">
      <c r="A5" s="7" t="s">
        <v>2376</v>
      </c>
      <c r="B5" s="8">
        <v>7</v>
      </c>
      <c r="C5" s="8">
        <f>COUNTIF('Birim Testleri'!$A$2:$A$1534,$A5)</f>
        <v>167</v>
      </c>
      <c r="D5" s="8">
        <f>COUNTIFS('Birim Testleri'!$A$2:$A$1534,$A5,'Birim Testleri'!$E$2:$E$1534,"Geçti")</f>
        <v>167</v>
      </c>
      <c r="E5" s="8">
        <f>COUNTIFS('Birim Testleri'!$A$2:$A$1534,$A5,'Birim Testleri'!$E$2:$E$1534,"Beklenen hata (xfail)")</f>
        <v>0</v>
      </c>
      <c r="F5" s="8">
        <f>COUNTIFS('Birim Testleri'!$A$2:$A$1534,$A5,'Birim Testleri'!$E$2:$E$1534,"Atlandı")</f>
        <v>0</v>
      </c>
      <c r="G5" s="8">
        <f>COUNTIFS('Birim Testleri'!$A$2:$A$1534,$A5,'Birim Testleri'!$E$2:$E$1534,"Başarısız")</f>
        <v>0</v>
      </c>
      <c r="H5" s="8">
        <f>COUNTIFS('Birim Testleri'!$A$2:$A$1534,$A5,'Birim Testleri'!$E$2:$E$1534,"Seçilmedi (integration)")</f>
        <v>0</v>
      </c>
    </row>
    <row r="6" spans="1:8" x14ac:dyDescent="0.25">
      <c r="A6" s="7" t="s">
        <v>890</v>
      </c>
      <c r="B6" s="8">
        <v>13</v>
      </c>
      <c r="C6" s="8">
        <f>COUNTIF('Birim Testleri'!$A$2:$A$1534,$A6)</f>
        <v>140</v>
      </c>
      <c r="D6" s="8">
        <f>COUNTIFS('Birim Testleri'!$A$2:$A$1534,$A6,'Birim Testleri'!$E$2:$E$1534,"Geçti")</f>
        <v>140</v>
      </c>
      <c r="E6" s="8">
        <f>COUNTIFS('Birim Testleri'!$A$2:$A$1534,$A6,'Birim Testleri'!$E$2:$E$1534,"Beklenen hata (xfail)")</f>
        <v>0</v>
      </c>
      <c r="F6" s="8">
        <f>COUNTIFS('Birim Testleri'!$A$2:$A$1534,$A6,'Birim Testleri'!$E$2:$E$1534,"Atlandı")</f>
        <v>0</v>
      </c>
      <c r="G6" s="8">
        <f>COUNTIFS('Birim Testleri'!$A$2:$A$1534,$A6,'Birim Testleri'!$E$2:$E$1534,"Başarısız")</f>
        <v>0</v>
      </c>
      <c r="H6" s="8">
        <f>COUNTIFS('Birim Testleri'!$A$2:$A$1534,$A6,'Birim Testleri'!$E$2:$E$1534,"Seçilmedi (integration)")</f>
        <v>0</v>
      </c>
    </row>
    <row r="7" spans="1:8" x14ac:dyDescent="0.25">
      <c r="A7" s="7" t="s">
        <v>1040</v>
      </c>
      <c r="B7" s="8">
        <v>6</v>
      </c>
      <c r="C7" s="8">
        <f>COUNTIF('Birim Testleri'!$A$2:$A$1534,$A7)</f>
        <v>66</v>
      </c>
      <c r="D7" s="8">
        <f>COUNTIFS('Birim Testleri'!$A$2:$A$1534,$A7,'Birim Testleri'!$E$2:$E$1534,"Geçti")</f>
        <v>66</v>
      </c>
      <c r="E7" s="8">
        <f>COUNTIFS('Birim Testleri'!$A$2:$A$1534,$A7,'Birim Testleri'!$E$2:$E$1534,"Beklenen hata (xfail)")</f>
        <v>0</v>
      </c>
      <c r="F7" s="8">
        <f>COUNTIFS('Birim Testleri'!$A$2:$A$1534,$A7,'Birim Testleri'!$E$2:$E$1534,"Atlandı")</f>
        <v>0</v>
      </c>
      <c r="G7" s="8">
        <f>COUNTIFS('Birim Testleri'!$A$2:$A$1534,$A7,'Birim Testleri'!$E$2:$E$1534,"Başarısız")</f>
        <v>0</v>
      </c>
      <c r="H7" s="8">
        <f>COUNTIFS('Birim Testleri'!$A$2:$A$1534,$A7,'Birim Testleri'!$E$2:$E$1534,"Seçilmedi (integration)")</f>
        <v>0</v>
      </c>
    </row>
    <row r="8" spans="1:8" x14ac:dyDescent="0.25">
      <c r="A8" s="7" t="s">
        <v>1112</v>
      </c>
      <c r="B8" s="8">
        <v>9</v>
      </c>
      <c r="C8" s="8">
        <f>COUNTIF('Birim Testleri'!$A$2:$A$1534,$A8)</f>
        <v>31</v>
      </c>
      <c r="D8" s="8">
        <f>COUNTIFS('Birim Testleri'!$A$2:$A$1534,$A8,'Birim Testleri'!$E$2:$E$1534,"Geçti")</f>
        <v>31</v>
      </c>
      <c r="E8" s="8">
        <f>COUNTIFS('Birim Testleri'!$A$2:$A$1534,$A8,'Birim Testleri'!$E$2:$E$1534,"Beklenen hata (xfail)")</f>
        <v>0</v>
      </c>
      <c r="F8" s="8">
        <f>COUNTIFS('Birim Testleri'!$A$2:$A$1534,$A8,'Birim Testleri'!$E$2:$E$1534,"Atlandı")</f>
        <v>0</v>
      </c>
      <c r="G8" s="8">
        <f>COUNTIFS('Birim Testleri'!$A$2:$A$1534,$A8,'Birim Testleri'!$E$2:$E$1534,"Başarısız")</f>
        <v>0</v>
      </c>
      <c r="H8" s="8">
        <f>COUNTIFS('Birim Testleri'!$A$2:$A$1534,$A8,'Birim Testleri'!$E$2:$E$1534,"Seçilmedi (integration)")</f>
        <v>0</v>
      </c>
    </row>
    <row r="9" spans="1:8" x14ac:dyDescent="0.25">
      <c r="A9" s="7" t="s">
        <v>1153</v>
      </c>
      <c r="B9" s="8">
        <v>6</v>
      </c>
      <c r="C9" s="8">
        <f>COUNTIF('Birim Testleri'!$A$2:$A$1534,$A9)</f>
        <v>99</v>
      </c>
      <c r="D9" s="8">
        <f>COUNTIFS('Birim Testleri'!$A$2:$A$1534,$A9,'Birim Testleri'!$E$2:$E$1534,"Geçti")</f>
        <v>98</v>
      </c>
      <c r="E9" s="8">
        <f>COUNTIFS('Birim Testleri'!$A$2:$A$1534,$A9,'Birim Testleri'!$E$2:$E$1534,"Beklenen hata (xfail)")</f>
        <v>0</v>
      </c>
      <c r="F9" s="8">
        <f>COUNTIFS('Birim Testleri'!$A$2:$A$1534,$A9,'Birim Testleri'!$E$2:$E$1534,"Atlandı")</f>
        <v>0</v>
      </c>
      <c r="G9" s="8">
        <f>COUNTIFS('Birim Testleri'!$A$2:$A$1534,$A9,'Birim Testleri'!$E$2:$E$1534,"Başarısız")</f>
        <v>0</v>
      </c>
      <c r="H9" s="8">
        <f>COUNTIFS('Birim Testleri'!$A$2:$A$1534,$A9,'Birim Testleri'!$E$2:$E$1534,"Seçilmedi (integration)")</f>
        <v>1</v>
      </c>
    </row>
    <row r="10" spans="1:8" x14ac:dyDescent="0.25">
      <c r="A10" s="7" t="s">
        <v>1258</v>
      </c>
      <c r="B10" s="8">
        <v>3</v>
      </c>
      <c r="C10" s="8">
        <f>COUNTIF('Birim Testleri'!$A$2:$A$1534,$A10)</f>
        <v>34</v>
      </c>
      <c r="D10" s="8">
        <f>COUNTIFS('Birim Testleri'!$A$2:$A$1534,$A10,'Birim Testleri'!$E$2:$E$1534,"Geçti")</f>
        <v>34</v>
      </c>
      <c r="E10" s="8">
        <f>COUNTIFS('Birim Testleri'!$A$2:$A$1534,$A10,'Birim Testleri'!$E$2:$E$1534,"Beklenen hata (xfail)")</f>
        <v>0</v>
      </c>
      <c r="F10" s="8">
        <f>COUNTIFS('Birim Testleri'!$A$2:$A$1534,$A10,'Birim Testleri'!$E$2:$E$1534,"Atlandı")</f>
        <v>0</v>
      </c>
      <c r="G10" s="8">
        <f>COUNTIFS('Birim Testleri'!$A$2:$A$1534,$A10,'Birim Testleri'!$E$2:$E$1534,"Başarısız")</f>
        <v>0</v>
      </c>
      <c r="H10" s="8">
        <f>COUNTIFS('Birim Testleri'!$A$2:$A$1534,$A10,'Birim Testleri'!$E$2:$E$1534,"Seçilmedi (integration)")</f>
        <v>0</v>
      </c>
    </row>
    <row r="11" spans="1:8" x14ac:dyDescent="0.25">
      <c r="A11" s="7" t="s">
        <v>1296</v>
      </c>
      <c r="B11" s="8">
        <v>6</v>
      </c>
      <c r="C11" s="8">
        <f>COUNTIF('Birim Testleri'!$A$2:$A$1534,$A11)</f>
        <v>147</v>
      </c>
      <c r="D11" s="8">
        <f>COUNTIFS('Birim Testleri'!$A$2:$A$1534,$A11,'Birim Testleri'!$E$2:$E$1534,"Geçti")</f>
        <v>135</v>
      </c>
      <c r="E11" s="8">
        <f>COUNTIFS('Birim Testleri'!$A$2:$A$1534,$A11,'Birim Testleri'!$E$2:$E$1534,"Beklenen hata (xfail)")</f>
        <v>12</v>
      </c>
      <c r="F11" s="8">
        <f>COUNTIFS('Birim Testleri'!$A$2:$A$1534,$A11,'Birim Testleri'!$E$2:$E$1534,"Atlandı")</f>
        <v>0</v>
      </c>
      <c r="G11" s="8">
        <f>COUNTIFS('Birim Testleri'!$A$2:$A$1534,$A11,'Birim Testleri'!$E$2:$E$1534,"Başarısız")</f>
        <v>0</v>
      </c>
      <c r="H11" s="8">
        <f>COUNTIFS('Birim Testleri'!$A$2:$A$1534,$A11,'Birim Testleri'!$E$2:$E$1534,"Seçilmedi (integration)")</f>
        <v>0</v>
      </c>
    </row>
    <row r="12" spans="1:8" x14ac:dyDescent="0.25">
      <c r="A12" s="7" t="s">
        <v>1451</v>
      </c>
      <c r="B12" s="8">
        <v>6</v>
      </c>
      <c r="C12" s="8">
        <f>COUNTIF('Birim Testleri'!$A$2:$A$1534,$A12)</f>
        <v>44</v>
      </c>
      <c r="D12" s="8">
        <f>COUNTIFS('Birim Testleri'!$A$2:$A$1534,$A12,'Birim Testleri'!$E$2:$E$1534,"Geçti")</f>
        <v>44</v>
      </c>
      <c r="E12" s="8">
        <f>COUNTIFS('Birim Testleri'!$A$2:$A$1534,$A12,'Birim Testleri'!$E$2:$E$1534,"Beklenen hata (xfail)")</f>
        <v>0</v>
      </c>
      <c r="F12" s="8">
        <f>COUNTIFS('Birim Testleri'!$A$2:$A$1534,$A12,'Birim Testleri'!$E$2:$E$1534,"Atlandı")</f>
        <v>0</v>
      </c>
      <c r="G12" s="8">
        <f>COUNTIFS('Birim Testleri'!$A$2:$A$1534,$A12,'Birim Testleri'!$E$2:$E$1534,"Başarısız")</f>
        <v>0</v>
      </c>
      <c r="H12" s="8">
        <f>COUNTIFS('Birim Testleri'!$A$2:$A$1534,$A12,'Birim Testleri'!$E$2:$E$1534,"Seçilmedi (integration)")</f>
        <v>0</v>
      </c>
    </row>
    <row r="13" spans="1:8" x14ac:dyDescent="0.25">
      <c r="A13" s="7" t="s">
        <v>1502</v>
      </c>
      <c r="B13" s="8">
        <v>14</v>
      </c>
      <c r="C13" s="8">
        <f>COUNTIF('Birim Testleri'!$A$2:$A$1534,$A13)</f>
        <v>288</v>
      </c>
      <c r="D13" s="8">
        <f>COUNTIFS('Birim Testleri'!$A$2:$A$1534,$A13,'Birim Testleri'!$E$2:$E$1534,"Geçti")</f>
        <v>288</v>
      </c>
      <c r="E13" s="8">
        <f>COUNTIFS('Birim Testleri'!$A$2:$A$1534,$A13,'Birim Testleri'!$E$2:$E$1534,"Beklenen hata (xfail)")</f>
        <v>0</v>
      </c>
      <c r="F13" s="8">
        <f>COUNTIFS('Birim Testleri'!$A$2:$A$1534,$A13,'Birim Testleri'!$E$2:$E$1534,"Atlandı")</f>
        <v>0</v>
      </c>
      <c r="G13" s="8">
        <f>COUNTIFS('Birim Testleri'!$A$2:$A$1534,$A13,'Birim Testleri'!$E$2:$E$1534,"Başarısız")</f>
        <v>0</v>
      </c>
      <c r="H13" s="8">
        <f>COUNTIFS('Birim Testleri'!$A$2:$A$1534,$A13,'Birim Testleri'!$E$2:$E$1534,"Seçilmedi (integration)")</f>
        <v>0</v>
      </c>
    </row>
    <row r="14" spans="1:8" x14ac:dyDescent="0.25">
      <c r="A14" s="7" t="s">
        <v>1853</v>
      </c>
      <c r="B14" s="8">
        <v>8</v>
      </c>
      <c r="C14" s="8">
        <f>COUNTIF('Birim Testleri'!$A$2:$A$1534,$A14)</f>
        <v>108</v>
      </c>
      <c r="D14" s="8">
        <f>COUNTIFS('Birim Testleri'!$A$2:$A$1534,$A14,'Birim Testleri'!$E$2:$E$1534,"Geçti")</f>
        <v>108</v>
      </c>
      <c r="E14" s="8">
        <f>COUNTIFS('Birim Testleri'!$A$2:$A$1534,$A14,'Birim Testleri'!$E$2:$E$1534,"Beklenen hata (xfail)")</f>
        <v>0</v>
      </c>
      <c r="F14" s="8">
        <f>COUNTIFS('Birim Testleri'!$A$2:$A$1534,$A14,'Birim Testleri'!$E$2:$E$1534,"Atlandı")</f>
        <v>0</v>
      </c>
      <c r="G14" s="8">
        <f>COUNTIFS('Birim Testleri'!$A$2:$A$1534,$A14,'Birim Testleri'!$E$2:$E$1534,"Başarısız")</f>
        <v>0</v>
      </c>
      <c r="H14" s="8">
        <f>COUNTIFS('Birim Testleri'!$A$2:$A$1534,$A14,'Birim Testleri'!$E$2:$E$1534,"Seçilmedi (integration)")</f>
        <v>0</v>
      </c>
    </row>
    <row r="15" spans="1:8" x14ac:dyDescent="0.25">
      <c r="A15" s="7" t="s">
        <v>1805</v>
      </c>
      <c r="B15" s="8">
        <v>6</v>
      </c>
      <c r="C15" s="8">
        <f>COUNTIF('Birim Testleri'!$A$2:$A$1534,$A15)</f>
        <v>41</v>
      </c>
      <c r="D15" s="8">
        <f>COUNTIFS('Birim Testleri'!$A$2:$A$1534,$A15,'Birim Testleri'!$E$2:$E$1534,"Geçti")</f>
        <v>41</v>
      </c>
      <c r="E15" s="8">
        <f>COUNTIFS('Birim Testleri'!$A$2:$A$1534,$A15,'Birim Testleri'!$E$2:$E$1534,"Beklenen hata (xfail)")</f>
        <v>0</v>
      </c>
      <c r="F15" s="8">
        <f>COUNTIFS('Birim Testleri'!$A$2:$A$1534,$A15,'Birim Testleri'!$E$2:$E$1534,"Atlandı")</f>
        <v>0</v>
      </c>
      <c r="G15" s="8">
        <f>COUNTIFS('Birim Testleri'!$A$2:$A$1534,$A15,'Birim Testleri'!$E$2:$E$1534,"Başarısız")</f>
        <v>0</v>
      </c>
      <c r="H15" s="8">
        <f>COUNTIFS('Birim Testleri'!$A$2:$A$1534,$A15,'Birim Testleri'!$E$2:$E$1534,"Seçilmedi (integration)")</f>
        <v>0</v>
      </c>
    </row>
    <row r="16" spans="1:8" x14ac:dyDescent="0.25">
      <c r="A16" s="7" t="s">
        <v>1971</v>
      </c>
      <c r="B16" s="8">
        <v>14</v>
      </c>
      <c r="C16" s="8">
        <f>COUNTIF('Birim Testleri'!$A$2:$A$1534,$A16)</f>
        <v>241</v>
      </c>
      <c r="D16" s="8">
        <f>COUNTIFS('Birim Testleri'!$A$2:$A$1534,$A16,'Birim Testleri'!$E$2:$E$1534,"Geçti")</f>
        <v>241</v>
      </c>
      <c r="E16" s="8">
        <f>COUNTIFS('Birim Testleri'!$A$2:$A$1534,$A16,'Birim Testleri'!$E$2:$E$1534,"Beklenen hata (xfail)")</f>
        <v>0</v>
      </c>
      <c r="F16" s="8">
        <f>COUNTIFS('Birim Testleri'!$A$2:$A$1534,$A16,'Birim Testleri'!$E$2:$E$1534,"Atlandı")</f>
        <v>0</v>
      </c>
      <c r="G16" s="8">
        <f>COUNTIFS('Birim Testleri'!$A$2:$A$1534,$A16,'Birim Testleri'!$E$2:$E$1534,"Başarısız")</f>
        <v>0</v>
      </c>
      <c r="H16" s="8">
        <f>COUNTIFS('Birim Testleri'!$A$2:$A$1534,$A16,'Birim Testleri'!$E$2:$E$1534,"Seçilmedi (integration)")</f>
        <v>0</v>
      </c>
    </row>
    <row r="17" spans="1:8" x14ac:dyDescent="0.25">
      <c r="A17" s="7" t="s">
        <v>2226</v>
      </c>
      <c r="B17" s="8">
        <v>10</v>
      </c>
      <c r="C17" s="8">
        <f>COUNTIF('Birim Testleri'!$A$2:$A$1534,$A17)</f>
        <v>29</v>
      </c>
      <c r="D17" s="8">
        <f>COUNTIFS('Birim Testleri'!$A$2:$A$1534,$A17,'Birim Testleri'!$E$2:$E$1534,"Geçti")</f>
        <v>29</v>
      </c>
      <c r="E17" s="8">
        <f>COUNTIFS('Birim Testleri'!$A$2:$A$1534,$A17,'Birim Testleri'!$E$2:$E$1534,"Beklenen hata (xfail)")</f>
        <v>0</v>
      </c>
      <c r="F17" s="8">
        <f>COUNTIFS('Birim Testleri'!$A$2:$A$1534,$A17,'Birim Testleri'!$E$2:$E$1534,"Atlandı")</f>
        <v>0</v>
      </c>
      <c r="G17" s="8">
        <f>COUNTIFS('Birim Testleri'!$A$2:$A$1534,$A17,'Birim Testleri'!$E$2:$E$1534,"Başarısız")</f>
        <v>0</v>
      </c>
      <c r="H17" s="8">
        <f>COUNTIFS('Birim Testleri'!$A$2:$A$1534,$A17,'Birim Testleri'!$E$2:$E$1534,"Seçilmedi (integration)")</f>
        <v>0</v>
      </c>
    </row>
    <row r="18" spans="1:8" x14ac:dyDescent="0.25">
      <c r="A18" s="7" t="s">
        <v>2263</v>
      </c>
      <c r="B18" s="8">
        <v>5</v>
      </c>
      <c r="C18" s="8">
        <f>COUNTIF('Birim Testleri'!$A$2:$A$1534,$A18)</f>
        <v>38</v>
      </c>
      <c r="D18" s="8">
        <f>COUNTIFS('Birim Testleri'!$A$2:$A$1534,$A18,'Birim Testleri'!$E$2:$E$1534,"Geçti")</f>
        <v>38</v>
      </c>
      <c r="E18" s="8">
        <f>COUNTIFS('Birim Testleri'!$A$2:$A$1534,$A18,'Birim Testleri'!$E$2:$E$1534,"Beklenen hata (xfail)")</f>
        <v>0</v>
      </c>
      <c r="F18" s="8">
        <f>COUNTIFS('Birim Testleri'!$A$2:$A$1534,$A18,'Birim Testleri'!$E$2:$E$1534,"Atlandı")</f>
        <v>0</v>
      </c>
      <c r="G18" s="8">
        <f>COUNTIFS('Birim Testleri'!$A$2:$A$1534,$A18,'Birim Testleri'!$E$2:$E$1534,"Başarısız")</f>
        <v>0</v>
      </c>
      <c r="H18" s="8">
        <f>COUNTIFS('Birim Testleri'!$A$2:$A$1534,$A18,'Birim Testleri'!$E$2:$E$1534,"Seçilmedi (integration)")</f>
        <v>0</v>
      </c>
    </row>
    <row r="19" spans="1:8" x14ac:dyDescent="0.25">
      <c r="A19" s="7" t="s">
        <v>2307</v>
      </c>
      <c r="B19" s="8">
        <v>1</v>
      </c>
      <c r="C19" s="8">
        <f>COUNTIF('Birim Testleri'!$A$2:$A$1534,$A19)</f>
        <v>8</v>
      </c>
      <c r="D19" s="8">
        <f>COUNTIFS('Birim Testleri'!$A$2:$A$1534,$A19,'Birim Testleri'!$E$2:$E$1534,"Geçti")</f>
        <v>8</v>
      </c>
      <c r="E19" s="8">
        <f>COUNTIFS('Birim Testleri'!$A$2:$A$1534,$A19,'Birim Testleri'!$E$2:$E$1534,"Beklenen hata (xfail)")</f>
        <v>0</v>
      </c>
      <c r="F19" s="8">
        <f>COUNTIFS('Birim Testleri'!$A$2:$A$1534,$A19,'Birim Testleri'!$E$2:$E$1534,"Atlandı")</f>
        <v>0</v>
      </c>
      <c r="G19" s="8">
        <f>COUNTIFS('Birim Testleri'!$A$2:$A$1534,$A19,'Birim Testleri'!$E$2:$E$1534,"Başarısız")</f>
        <v>0</v>
      </c>
      <c r="H19" s="8">
        <f>COUNTIFS('Birim Testleri'!$A$2:$A$1534,$A19,'Birim Testleri'!$E$2:$E$1534,"Seçilmedi (integration)")</f>
        <v>0</v>
      </c>
    </row>
    <row r="20" spans="1:8" x14ac:dyDescent="0.25">
      <c r="A20" s="7" t="s">
        <v>2317</v>
      </c>
      <c r="B20" s="8">
        <v>6</v>
      </c>
      <c r="C20" s="8">
        <f>COUNTIF('Birim Testleri'!$A$2:$A$1534,$A20)</f>
        <v>52</v>
      </c>
      <c r="D20" s="8">
        <f>COUNTIFS('Birim Testleri'!$A$2:$A$1534,$A20,'Birim Testleri'!$E$2:$E$1534,"Geçti")</f>
        <v>52</v>
      </c>
      <c r="E20" s="8">
        <f>COUNTIFS('Birim Testleri'!$A$2:$A$1534,$A20,'Birim Testleri'!$E$2:$E$1534,"Beklenen hata (xfail)")</f>
        <v>0</v>
      </c>
      <c r="F20" s="8">
        <f>COUNTIFS('Birim Testleri'!$A$2:$A$1534,$A20,'Birim Testleri'!$E$2:$E$1534,"Atlandı")</f>
        <v>0</v>
      </c>
      <c r="G20" s="8">
        <f>COUNTIFS('Birim Testleri'!$A$2:$A$1534,$A20,'Birim Testleri'!$E$2:$E$1534,"Başarısız")</f>
        <v>0</v>
      </c>
      <c r="H20" s="8">
        <f>COUNTIFS('Birim Testleri'!$A$2:$A$1534,$A20,'Birim Testleri'!$E$2:$E$1534,"Seçilmedi (integration)")</f>
        <v>0</v>
      </c>
    </row>
    <row r="21" spans="1:8" x14ac:dyDescent="0.25">
      <c r="A21" s="9" t="s">
        <v>25</v>
      </c>
      <c r="B21" s="10">
        <f t="shared" ref="B21:H21" si="0">SUM(B5:B20)</f>
        <v>120</v>
      </c>
      <c r="C21" s="10">
        <f t="shared" si="0"/>
        <v>1533</v>
      </c>
      <c r="D21" s="10">
        <f t="shared" si="0"/>
        <v>1520</v>
      </c>
      <c r="E21" s="10">
        <f t="shared" si="0"/>
        <v>12</v>
      </c>
      <c r="F21" s="10">
        <f t="shared" si="0"/>
        <v>0</v>
      </c>
      <c r="G21" s="10">
        <f t="shared" si="0"/>
        <v>0</v>
      </c>
      <c r="H21" s="10">
        <f t="shared" si="0"/>
        <v>1</v>
      </c>
    </row>
    <row r="23" spans="1:8" x14ac:dyDescent="0.25">
      <c r="A23" s="22" t="s">
        <v>2564</v>
      </c>
    </row>
    <row r="24" spans="1:8" x14ac:dyDescent="0.25">
      <c r="A24" s="22" t="s">
        <v>2565</v>
      </c>
    </row>
  </sheetData>
  <conditionalFormatting sqref="D5:D20">
    <cfRule type="expression" dxfId="2" priority="1">
      <formula>D5&gt;0</formula>
    </cfRule>
  </conditionalFormatting>
  <conditionalFormatting sqref="E5:E20">
    <cfRule type="expression" dxfId="1" priority="2">
      <formula>E5&gt;0</formula>
    </cfRule>
  </conditionalFormatting>
  <conditionalFormatting sqref="G5:G20">
    <cfRule type="expression" dxfId="0" priority="3">
      <formula>G5&gt;0</formula>
    </cfRule>
  </conditionalFormatting>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5"/>
  <sheetViews>
    <sheetView workbookViewId="0">
      <pane ySplit="1" topLeftCell="A2" activePane="bottomLeft" state="frozen"/>
      <selection pane="bottomLeft"/>
    </sheetView>
  </sheetViews>
  <sheetFormatPr defaultRowHeight="15" x14ac:dyDescent="0.25"/>
  <cols>
    <col min="1" max="1" width="30" customWidth="1"/>
    <col min="2" max="2" width="110" customWidth="1"/>
  </cols>
  <sheetData>
    <row r="1" spans="1:2" x14ac:dyDescent="0.25">
      <c r="A1" s="6" t="s">
        <v>2566</v>
      </c>
      <c r="B1" s="6" t="s">
        <v>2567</v>
      </c>
    </row>
    <row r="2" spans="1:2" ht="25.5" x14ac:dyDescent="0.25">
      <c r="A2" s="25" t="s">
        <v>2568</v>
      </c>
      <c r="B2" s="12" t="s">
        <v>2569</v>
      </c>
    </row>
    <row r="3" spans="1:2" ht="38.25" x14ac:dyDescent="0.25">
      <c r="A3" s="25" t="s">
        <v>2570</v>
      </c>
      <c r="B3" s="12" t="s">
        <v>2571</v>
      </c>
    </row>
    <row r="4" spans="1:2" x14ac:dyDescent="0.25">
      <c r="A4" s="25" t="s">
        <v>662</v>
      </c>
      <c r="B4" s="12" t="s">
        <v>2572</v>
      </c>
    </row>
    <row r="5" spans="1:2" ht="25.5" x14ac:dyDescent="0.25">
      <c r="A5" s="25" t="s">
        <v>2573</v>
      </c>
      <c r="B5" s="12" t="s">
        <v>2574</v>
      </c>
    </row>
    <row r="6" spans="1:2" ht="25.5" x14ac:dyDescent="0.25">
      <c r="A6" s="25" t="s">
        <v>30</v>
      </c>
      <c r="B6" s="12" t="s">
        <v>2575</v>
      </c>
    </row>
    <row r="7" spans="1:2" x14ac:dyDescent="0.25">
      <c r="A7" s="25" t="s">
        <v>2576</v>
      </c>
      <c r="B7" s="12" t="s">
        <v>2577</v>
      </c>
    </row>
    <row r="8" spans="1:2" ht="38.25" x14ac:dyDescent="0.25">
      <c r="A8" s="25" t="s">
        <v>2578</v>
      </c>
      <c r="B8" s="12" t="s">
        <v>2579</v>
      </c>
    </row>
    <row r="9" spans="1:2" ht="25.5" x14ac:dyDescent="0.25">
      <c r="A9" s="25" t="s">
        <v>2580</v>
      </c>
      <c r="B9" s="12" t="s">
        <v>2581</v>
      </c>
    </row>
    <row r="10" spans="1:2" ht="25.5" x14ac:dyDescent="0.25">
      <c r="A10" s="25" t="s">
        <v>2582</v>
      </c>
      <c r="B10" s="12" t="s">
        <v>2583</v>
      </c>
    </row>
    <row r="11" spans="1:2" ht="25.5" x14ac:dyDescent="0.25">
      <c r="A11" s="25" t="s">
        <v>732</v>
      </c>
      <c r="B11" s="12" t="s">
        <v>2584</v>
      </c>
    </row>
    <row r="12" spans="1:2" ht="25.5" x14ac:dyDescent="0.25">
      <c r="A12" s="25" t="s">
        <v>54</v>
      </c>
      <c r="B12" s="12" t="s">
        <v>2585</v>
      </c>
    </row>
    <row r="13" spans="1:2" x14ac:dyDescent="0.25">
      <c r="A13" s="25" t="s">
        <v>56</v>
      </c>
      <c r="B13" s="12" t="s">
        <v>2586</v>
      </c>
    </row>
    <row r="14" spans="1:2" ht="25.5" x14ac:dyDescent="0.25">
      <c r="A14" s="25" t="s">
        <v>70</v>
      </c>
      <c r="B14" s="12" t="s">
        <v>2587</v>
      </c>
    </row>
    <row r="15" spans="1:2" ht="25.5" x14ac:dyDescent="0.25">
      <c r="A15" s="25" t="s">
        <v>2588</v>
      </c>
      <c r="B15" s="12" t="s">
        <v>2589</v>
      </c>
    </row>
    <row r="16" spans="1:2" x14ac:dyDescent="0.25">
      <c r="A16" s="25" t="s">
        <v>2590</v>
      </c>
      <c r="B16" s="12" t="s">
        <v>2591</v>
      </c>
    </row>
    <row r="17" spans="1:2" ht="25.5" x14ac:dyDescent="0.25">
      <c r="A17" s="25" t="s">
        <v>2563</v>
      </c>
      <c r="B17" s="12" t="s">
        <v>2592</v>
      </c>
    </row>
    <row r="18" spans="1:2" x14ac:dyDescent="0.25">
      <c r="A18" s="25" t="s">
        <v>86</v>
      </c>
      <c r="B18" s="12" t="s">
        <v>2593</v>
      </c>
    </row>
    <row r="19" spans="1:2" ht="25.5" x14ac:dyDescent="0.25">
      <c r="A19" s="25" t="s">
        <v>2594</v>
      </c>
      <c r="B19" s="12" t="s">
        <v>2595</v>
      </c>
    </row>
    <row r="20" spans="1:2" x14ac:dyDescent="0.25">
      <c r="A20" s="25" t="s">
        <v>43</v>
      </c>
      <c r="B20" s="12" t="s">
        <v>36</v>
      </c>
    </row>
    <row r="21" spans="1:2" x14ac:dyDescent="0.25">
      <c r="A21" s="25" t="s">
        <v>44</v>
      </c>
      <c r="B21" s="12" t="s">
        <v>37</v>
      </c>
    </row>
    <row r="22" spans="1:2" x14ac:dyDescent="0.25">
      <c r="A22" s="25" t="s">
        <v>45</v>
      </c>
      <c r="B22" s="12" t="s">
        <v>38</v>
      </c>
    </row>
    <row r="23" spans="1:2" x14ac:dyDescent="0.25">
      <c r="A23" s="25" t="s">
        <v>46</v>
      </c>
      <c r="B23" s="12" t="s">
        <v>39</v>
      </c>
    </row>
    <row r="24" spans="1:2" x14ac:dyDescent="0.25">
      <c r="A24" s="25" t="s">
        <v>47</v>
      </c>
      <c r="B24" s="12" t="s">
        <v>40</v>
      </c>
    </row>
    <row r="25" spans="1:2" x14ac:dyDescent="0.25">
      <c r="A25" s="25" t="s">
        <v>48</v>
      </c>
      <c r="B25" s="12"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8</vt:i4>
      </vt:variant>
    </vt:vector>
  </HeadingPairs>
  <TitlesOfParts>
    <vt:vector size="8" baseType="lpstr">
      <vt:lpstr>Özet</vt:lpstr>
      <vt:lpstr>Test Seti</vt:lpstr>
      <vt:lpstr>Arama Sonuçları</vt:lpstr>
      <vt:lpstr>Cevap Sonuçları</vt:lpstr>
      <vt:lpstr>Hata Örnekleri</vt:lpstr>
      <vt:lpstr>Birim Testleri</vt:lpstr>
      <vt:lpstr>Birim Testleri Özeti</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Batur Alp AKDOĞAN</cp:lastModifiedBy>
  <dcterms:created xsi:type="dcterms:W3CDTF">2026-10-27T20:29:34Z</dcterms:created>
  <dcterms:modified xsi:type="dcterms:W3CDTF">2026-10-27T20:30:47Z</dcterms:modified>
</cp:coreProperties>
</file>