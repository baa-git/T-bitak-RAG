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tur\Desktop\Kişisel\03-Side Projects\Tübitak RAG\docs\"/>
    </mc:Choice>
  </mc:AlternateContent>
  <xr:revisionPtr revIDLastSave="0" documentId="13_ncr:1_{0C784BA6-B04A-4C47-8E52-7270AFFF2E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Özet" sheetId="1" r:id="rId1"/>
    <sheet name="İhtiyaçlar" sheetId="2" r:id="rId2"/>
    <sheet name="EARS Kalıpları" sheetId="3" r:id="rId3"/>
    <sheet name="Sözlük" sheetId="4" r:id="rId4"/>
    <sheet name="Değişiklik Geçmişi" sheetId="5" r:id="rId5"/>
  </sheets>
  <definedNames>
    <definedName name="_xlnm._FilterDatabase" localSheetId="1" hidden="1">İhtiyaçlar!$A$1:$K$98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2" l="1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G35" i="1" s="1"/>
  <c r="F18" i="1"/>
  <c r="F35" i="1" s="1"/>
  <c r="E18" i="1"/>
  <c r="D18" i="1"/>
  <c r="C18" i="1"/>
  <c r="C35" i="1" s="1"/>
  <c r="B18" i="1"/>
  <c r="B35" i="1" s="1"/>
  <c r="B14" i="1"/>
  <c r="B12" i="1"/>
  <c r="B11" i="1"/>
  <c r="B10" i="1"/>
  <c r="B9" i="1"/>
  <c r="B13" i="1" s="1"/>
  <c r="B8" i="1"/>
  <c r="B7" i="1"/>
  <c r="D35" i="1" l="1"/>
  <c r="E35" i="1"/>
</calcChain>
</file>

<file path=xl/sharedStrings.xml><?xml version="1.0" encoding="utf-8"?>
<sst xmlns="http://schemas.openxmlformats.org/spreadsheetml/2006/main" count="1068" uniqueCount="551">
  <si>
    <t>TÜBİTAK Mevzuat RAG — İhtiyaç Karşılama Matrisi</t>
  </si>
  <si>
    <t>Sürüm 2.3 · Sahip: Batur Alp · Oluşturma: 2026-10-27</t>
  </si>
  <si>
    <t>Kaynak: docs/requirements/ihtiyaclar.yaml (tek kaynak). Bu dosya build.py ile üretilir; durum güncellemeleri YAML'da yapılıp dosya yeniden üretilmelidir.</t>
  </si>
  <si>
    <t>Genel durum</t>
  </si>
  <si>
    <t>Gösterge</t>
  </si>
  <si>
    <t>Değer</t>
  </si>
  <si>
    <t>Toplam ihtiyaç</t>
  </si>
  <si>
    <t>Bekliyor</t>
  </si>
  <si>
    <t>Karşılandı</t>
  </si>
  <si>
    <t>Kısmi</t>
  </si>
  <si>
    <t>Karşılanmadı</t>
  </si>
  <si>
    <t>Kapsam dışı</t>
  </si>
  <si>
    <t>Karşılanma oranı (kapsam içi)</t>
  </si>
  <si>
    <t>Zorunlu ihtiyaçlarda karşılanma</t>
  </si>
  <si>
    <t>Kategoriye göre</t>
  </si>
  <si>
    <t>Kategori</t>
  </si>
  <si>
    <t>Toplam</t>
  </si>
  <si>
    <t>Ayrıştırma ve temizleme</t>
  </si>
  <si>
    <t>Parçalama (chunking)</t>
  </si>
  <si>
    <t>İndeksleme</t>
  </si>
  <si>
    <t>Arama ve yeniden sıralama</t>
  </si>
  <si>
    <t>Cevap üretimi ve atıf</t>
  </si>
  <si>
    <t>Güvenlik önlemleri (guardrail)</t>
  </si>
  <si>
    <t>Test seti</t>
  </si>
  <si>
    <t>Arama değerlendirmesi</t>
  </si>
  <si>
    <t>Cevap değerlendirmesi</t>
  </si>
  <si>
    <t>Deney karşılaştırma ve dokümantasyon</t>
  </si>
  <si>
    <t>Web arayüzü</t>
  </si>
  <si>
    <t>Barındırılan sürüm (Hugging Face Spaces)</t>
  </si>
  <si>
    <t>REST API</t>
  </si>
  <si>
    <t>Komut satırı arayüzü</t>
  </si>
  <si>
    <t>Docker paketi ve donanım</t>
  </si>
  <si>
    <t>Yazılım kalitesi ve testler</t>
  </si>
  <si>
    <t>Güvenlik, gizlilik ve dil</t>
  </si>
  <si>
    <t>Nasıl kullanılır?</t>
  </si>
  <si>
    <t>1. 'İhtiyaçlar' sayfasında yalnızca Durum (H), Kanıt (J) ve Not (K) sütunları güncellenir.</t>
  </si>
  <si>
    <t>2. Durum açılır listeden seçilir; ✓ sütunu ve bu sayfadaki sayılar formülle otomatik hesaplanır.</t>
  </si>
  <si>
    <t>3. Kalıcı güncelleme için aynı değişiklik ihtiyaclar.yaml dosyasına da yazılmalıdır.</t>
  </si>
  <si>
    <t>4. 'Bekliyor' = üzerinde çalışılıyor ya da henüz doğrulanamadı; kaldırılan ve birleştirilen ihtiyaçlar 'Değişiklik Geçmişi' sayfasındadır.</t>
  </si>
  <si>
    <t>5. Cümle yapısı için 'EARS Kalıpları' sayfasına bakın.</t>
  </si>
  <si>
    <t>ID</t>
  </si>
  <si>
    <t>EARS Tipi</t>
  </si>
  <si>
    <t>İhtiyaç</t>
  </si>
  <si>
    <t>Kabul Kriteri</t>
  </si>
  <si>
    <t>Öncelik</t>
  </si>
  <si>
    <t>Doğrulama</t>
  </si>
  <si>
    <t>Durum</t>
  </si>
  <si>
    <t>✓</t>
  </si>
  <si>
    <t>Kanıt</t>
  </si>
  <si>
    <t>Not</t>
  </si>
  <si>
    <t>FR-P1</t>
  </si>
  <si>
    <t>Her zaman</t>
  </si>
  <si>
    <t>Sistem, PDF, HTML, XLSX ve GİB JSON kaynaklarını ortak bir belge modeline dönüştürmelidir.</t>
  </si>
  <si>
    <t>Dört kaynak türü için ayrıştırıcı aynı Document tipini döndürür.</t>
  </si>
  <si>
    <t>Zorunlu</t>
  </si>
  <si>
    <t>Test</t>
  </si>
  <si>
    <t>ingestion/parser_registry.py; test_html_parser.py::test_parse_returns_document_with_metadata, test_gib_parser.py::test_gib_articles_parsed, test_xlsx_parser.py::test_one_table_section_per_sheet, test_pdf_text.py::test_extract_pages_reads_fixture_pdf.</t>
  </si>
  <si>
    <t>FR-P3</t>
  </si>
  <si>
    <t>Sistem, çıkarılan metinden sayfa numaralarını, tekrarlayan üstlük/altlıkları ve bozuk karakter kodlamalarını temizlemelidir.</t>
  </si>
  <si>
    <t>'2/47', 'KANUN VE YÖNETMELİKLER III-8' gibi kalıntılar çıktıda yoktur; metin Unicode NFC biçimindedir; eski Mac Türkçe glifleri onarılır.</t>
  </si>
  <si>
    <t>test_pdf_text.py::test_strips_repeated_header_and_page_numbers, ::test_removes_tiklayiniz_lines; test_normalize.py::test_nfc_composes_decomposed_chars, ::test_repair_mac_turkish_glyphs.</t>
  </si>
  <si>
    <t>FR-P4</t>
  </si>
  <si>
    <t>Sistem, mevzuat belgelerinden kısım, bölüm, madde, fıkra ve bent hiyerarşisini çıkarmalıdır.</t>
  </si>
  <si>
    <t>Örnek belgelerde madde numaraları, başlıkları ve fıkra/bent etiketleri doğru eşleşir.</t>
  </si>
  <si>
    <t>ingestion/legislation_parser.py; test_legislation_parser.py::test_hierarchy_labels, ::test_bolum_resets_on_new_kisim, ::test_paragraphs_split_on_fikra_and_bent.</t>
  </si>
  <si>
    <t>FR-P5</t>
  </si>
  <si>
    <t>Sistem, değişiklik notlarını madde metninden ayırıp metadata olarak saklamalıdır.</t>
  </si>
  <si>
    <t>'(Değişik: …YK)' ibareleri embed edilen metinde yer almaz, parça metadata'sında listelenir.</t>
  </si>
  <si>
    <t>Önemli</t>
  </si>
  <si>
    <t>test_legislation_parser.py::test_amendment_notes_moved_to_metadata; test_structural.py::test_amendment_notes_in_metadata_not_text; test_gib_parser.py::test_gib_amendment_note_extracted.</t>
  </si>
  <si>
    <t>FR-P6</t>
  </si>
  <si>
    <t>Sistem, yürürlükten kaldırılmış (mülga) maddeleri indeks dışında bırakmalıdır.</t>
  </si>
  <si>
    <t>Yalnızca '(Mülga…)' içeren maddeler indekste bulunmaz.</t>
  </si>
  <si>
    <t>test_legislation_parser.py::test_repealed_article_flagged; test_structural.py::test_repealed_skipped; test_fixed.py::test_repealed_sections_excluded.</t>
  </si>
  <si>
    <t>FR-P9</t>
  </si>
  <si>
    <t>İstenmeyen</t>
  </si>
  <si>
    <t>Bir PDF'ten metin çıkarılamadığı durumunda, sistem belgeyi ingest raporunda 'taranmış' olarak listelemelidir.</t>
  </si>
  <si>
    <t>Taranmış ve içeriksiz belgeler indekslenmez, raporda ayrı listelenir.</t>
  </si>
  <si>
    <t>test_ingest.py::test_scanned_docs_reported_not_indexed; artifacts/ingest_report.json: 3 taranmış PDF, 18 içeriksiz sayfa.</t>
  </si>
  <si>
    <t>FR-P10</t>
  </si>
  <si>
    <t>Sistem, her belgeye kimlik, başlık, program kodu, belge türü, kaynak URL, sürüm tarihi, dil ve SHA-256 metadata alanlarını atamalıdır.</t>
  </si>
  <si>
    <t>Belge modeli bu alanları içerir; bilinmeyen alanlar açıkça boş (null) tutulur; başlık okunabilir bir belge adıdır.</t>
  </si>
  <si>
    <t>domain/document.py; test_document_builder.py::test_skeleton_copies_entry_metadata_and_uses_real_sha, ::test_skeleton_keeps_missing_fields_as_none.</t>
  </si>
  <si>
    <t>Açık hata: 132 parçada belge başlığı boş ya da 'tıklayınız' (program sayfası bağlantı metninden geliyor); 111 belgede sürüm tarihi yok.</t>
  </si>
  <si>
    <t>FR-C1</t>
  </si>
  <si>
    <t>Sistem, sabit pencereli parçalamada parça boyutunun ve örtüşmenin token cinsinden yapılandırılmasına izin vermelidir.</t>
  </si>
  <si>
    <t>512 token / 64 örtüşme ile üretilen parçalar bu sınırlara uyar; örtüşme boyuttan küçük olmalıdır.</t>
  </si>
  <si>
    <t>chunking/fixed.py; test_fixed.py::test_windows_respect_size_and_overlap, ::test_rejects_overlap_not_smaller_than_size; v0/v0r: 4.193 parça.</t>
  </si>
  <si>
    <t>FR-C2</t>
  </si>
  <si>
    <t>Opsiyonel</t>
  </si>
  <si>
    <t>Yapı bazlı parçalama etkinleştirildiğinde, sistem her maddeyi, her HTML bölümünü ve her SSS soru-cevap çiftini ayrı bir parça olarak üretmelidir.</t>
  </si>
  <si>
    <t>Uzunluk eşiğini aşan madde fıkra sınırlarından bölünür, hiçbir fıkra ortadan kesilmez; bir SSS çifti tek parçadadır.</t>
  </si>
  <si>
    <t>chunking/structural.py; test_structural.py::test_each_article_is_one_chunk, ::test_long_article_split_at_paragraph_boundaries, ::test_faq_pair_single_chunk, ::test_html_sections_separate_chunks; v1–v3b: 7.017 parça.</t>
  </si>
  <si>
    <t>FR-C6</t>
  </si>
  <si>
    <t>Bağlam başlığı seçeneği etkinleştirildiğinde, sistem her parçanın embed edilen metninin başına belge ve hiyerarşi bilgisini eklemelidir.</t>
  </si>
  <si>
    <t>embed_text 'Belge › Bölüm › Madde N – Başlık' satırıyla başlar; kullanıcıya gösterilen text değişmez.</t>
  </si>
  <si>
    <t>chunking/context_header.py; test_structural.py::test_embed_text_starts_with_doc_and_hierarchy, ::test_text_unchanged_when_header_on, ::test_same_title_different_program_yields_different_embed_text.</t>
  </si>
  <si>
    <t>FR-I2</t>
  </si>
  <si>
    <t>Olay</t>
  </si>
  <si>
    <t>Corpus'ta bir belge eklendiğinde, değiştiğinde veya silindiğinde, sistem yalnızca o belgenin dense ve BM25 indeks kayıtlarını güncellemelidir.</t>
  </si>
  <si>
    <t>Diğer belgelerin embedding'leri yeniden hesaplanmaz; silinen belgenin parçaları aramada dönmez; ikinci ingest hiçbir şey değiştirmez.</t>
  </si>
  <si>
    <t>indexing/sync.py; test_sync.py::test_apply_only_embeds_changed_docs, ::test_apply_update_replaces_chunks, ::test_apply_remove_deletes; test_ingest.py::test_ingest_removes_deleted_doc_from_both_indexes.</t>
  </si>
  <si>
    <t>FR-X9</t>
  </si>
  <si>
    <t>Bir belgenin içeriği ve işlem ayarları değişmemişken, sistem ayrıştırma, parçalama ve embedding sonuçlarını önbellekten yeniden kullanmalıdır.</t>
  </si>
  <si>
    <t>İkinci ingest ayrıştırma ve embedding adımlarını atlar; önbellek model adına göre ayrıdır.</t>
  </si>
  <si>
    <t>test_ingest.py::test_second_ingest_is_noop_and_skips_parse_and_embed, ::test_full_flag_rebuilds_everything_from_the_caches; test_embedding_cache.py::test_lookup_is_per_model; ölçüm: önbellekli ingest 23 s (7.017 parça).</t>
  </si>
  <si>
    <t>FR-R1</t>
  </si>
  <si>
    <t>Sistem, arama yönteminin dense, BM25 veya hibrit olarak yapılandırmayla seçilmesine izin vermelidir.</t>
  </si>
  <si>
    <t>retriever.mode değiştirilerek aynı corpus üzerinde üç yöntem çalışır.</t>
  </si>
  <si>
    <t>test_factory.py::test_build_retriever_by_mode_uses_config_collection; test_dense.py, test_bm25.py, test_hybrid.py; configs/experiments/v0–v3b.yaml.</t>
  </si>
  <si>
    <t>FR-R3</t>
  </si>
  <si>
    <t>Kök bulma seçeneği etkinleştirildiğinde, sistem BM25 belirteçlerine Türkçe kök bulma uygulamalıdır.</t>
  </si>
  <si>
    <t>'projelerin' ve 'projeler' aynı köke iner; Türkçe küçük harf dönüşümü (İ→i, I→ı) her zaman uygulanır; sayılar ve program kodları köklenmez.</t>
  </si>
  <si>
    <t>retrieval/turkish.py; test_turkish.py::test_stemming_merges_plural_forms, ::test_no_stemming_option, ::test_turkish_lower_dotted_and_dotless_i, ::test_numbers_are_not_stemmed.</t>
  </si>
  <si>
    <t>FR-R4</t>
  </si>
  <si>
    <t>Hibrit arama etkinleştirildiğinde, sistem dense ve BM25 sonuç sıralarını Reciprocal Rank Fusion ile birleştirmelidir.</t>
  </si>
  <si>
    <t>RRF projenin kendi kodundadır; k varsayılan 60 ve yapılandırılabilir; bilinen örnekte doğru sıralama çıkar.</t>
  </si>
  <si>
    <t>retrieval/rrf.py; test_rrf.py::test_rrf_known_example; test_hybrid.py::test_rrf_k_is_used; v1→v2 Recall@5 0,439→0,543.</t>
  </si>
  <si>
    <t>FR-R5</t>
  </si>
  <si>
    <t>Bir soruyla birlikte metadata filtresi verildiğinde, sistem sonuçları program kodu ve belge türüne göre süzmelidir.</t>
  </si>
  <si>
    <t>program_kodu=1507 filtresiyle yalnızca 1507 belgeleri döner; filtre REST API ve `rag ask` ile verilir.</t>
  </si>
  <si>
    <t>test_filters.py::test_apply_filters_program_and_type; test_api.py::test_ask_forwards_filters_and_config; test_cli.py::test_ask_cli_program_and_type_become_filters.</t>
  </si>
  <si>
    <t>Web arayüzündeki filtreler sohbet sayfasına geçişte kaldırıldı.</t>
  </si>
  <si>
    <t>FR-RR1</t>
  </si>
  <si>
    <t>Yeniden sıralayıcı etkinleştirildiğinde, sistem ilk aşama adaylarını cross-encoder ile yeniden sıralayıp en iyi n parçayı döndürmelidir.</t>
  </si>
  <si>
    <t>Varsayılan 30 aday → 5 sonuç; yeniden sıralama skoru sonuçla birlikte döner.</t>
  </si>
  <si>
    <t>reranking/cross_encoder.py; test_cross_encoder.py::test_rerank_with_returns_top_n_sorted; test_pipeline.py::test_reranker_used_when_present_and_scores_kept; v2→v3 Recall@5 0,543→0,699.</t>
  </si>
  <si>
    <t>FR-G3</t>
  </si>
  <si>
    <t>Sistem, cevaptaki her atıfı belge adı, madde veya sayfa bilgisi ve kaynak bağlantısıyla birlikte sunmalıdır.</t>
  </si>
  <si>
    <t>Cevaptaki [n] işaretleri numaralı kaynaklara karşılık gelir; her atıf bu üç bilgiyi taşır.</t>
  </si>
  <si>
    <t>test_generator.py::test_citations_have_title_location_url; test_prompts.py::test_sources_numbered_from_one; test_pipeline.py::test_valid_answer_has_citations_sources_and_disclaimer.</t>
  </si>
  <si>
    <t>FR-G4</t>
  </si>
  <si>
    <t>Sistem, cevap üreten dil modelinin yapılandırmayla Ollama üzerinden yerel bir model veya OpenAI uyumlu bir API (ör. OpenRouter, Groq, Hugging Face Inference Providers) olarak seçilmesine izin vermelidir.</t>
  </si>
  <si>
    <t>Kod değişmeden yalnız llm.provider ve llm.model değiştirilir: ollama (varsayılan, yerel qwen3:4b) veya openai_compat (/chat/completions; adres LLM_BASE_URL, anahtar LLM_API_KEY ortam değişkeninden). Aynı alanla anthropic (Claude API) ve transformers (model süreç içinde; Hugging Face Space) da seçilebilir.</t>
  </si>
  <si>
    <t>config.py LlmConfig, OpenAICompatConfig; factory.py build_llm; adapters/ollama_llm.py, openai_compat_llm.py, anthropic_llm.py, transformers_llm.py; test_factory.py::test_provider_switch_by_config_only; test_openai_compat_llm.py::test_factory_builds_it_from_config, ::test_api_key_read_from_the_named_environment_variable, ::test_rejected_json_schema_falls_back_to_json_object_and_remembers; test_ollama_llm.py::test_request_body_has_think_false_format_and_temperature_zero; test_transformers_llm.py::test_factory_builds_it_from_config; test_anthropic_llm.py. Ollama yolu altı deney koşusunda gerçek olarak kullanıldı; transformers yolu canlı Space'te çalışıyor (FR-HF1).</t>
  </si>
  <si>
    <t>OpenAI uyumlu bağdaştırıcı yalnız birim testlerinde, sahte HTTP taşıyıcısıyla ve Ollama'nın /v1 uç noktasıyla aynı istek/yanıt biçiminde doğrulandı; gerçek ücretli bir sağlayıcıyla (OpenRouter, Groq, Hugging Face) denenmedi. Anthropic bağdaştırıcısı da sahte SDK ile test edildi.</t>
  </si>
  <si>
    <t>FR-G7</t>
  </si>
  <si>
    <t>Sistem, değerlendirmede kullanılan hakem modelinin sağlayıcısının ve modelinin cevap modelinden bağımsız olarak yapılandırmayla seçilmesine izin vermelidir.</t>
  </si>
  <si>
    <t>eval.judge.provider ve eval.judge.model ayrı ayarlanır (ollama, openai_compat, anthropic, transformers); bağlantı ayarları llm bölümünden gelir; hakem sıcaklığı 0'dır; varsayılan yerel Ollama qwen3:4b'dir.</t>
  </si>
  <si>
    <t>config.py JudgeConfig; interfaces/cli.py _judge_llm_config; test_cli_run.py::test_run_cli_judge_is_local_and_deterministic, ::test_run_cli_warns_when_an_api_provider_is_configured.</t>
  </si>
  <si>
    <t>Hakem isteğe bağlıdır (FR-E34); raporlanan cevap metrikleri hakemden değil Claude (Opus) incelemesinden gelir.</t>
  </si>
  <si>
    <t>FR-G5</t>
  </si>
  <si>
    <t>Sistem, her cevabı bilginin resmî görüş olmadığını belirten bir uyarıyla birlikte sunmalıdır.</t>
  </si>
  <si>
    <t>Uyarı API cevabının uyari alanında ve arayüzde bir kez görünür; cevap metninde tekrar edilmez.</t>
  </si>
  <si>
    <t>test_pipeline.py::test_disclaimer_is_given_once_in_its_own_field; test_pages.py::test_disclaimer_is_shown_once_on_the_page; test_api.py::test_ask_returns_answer_with_citations_and_disclaimer.</t>
  </si>
  <si>
    <t>FR-G6</t>
  </si>
  <si>
    <t>Sistem, kaynak metinleri dil modeline talimat olarak değil veri olarak işaretleyerek vermelidir.</t>
  </si>
  <si>
    <t>Sistem istemi kaynaklardaki talimatların uygulanmayacağını söyler; kaynaklar ve soru ayrı etiketler içindedir.</t>
  </si>
  <si>
    <t>generation/prompts.py; test_prompts.py::test_system_prompt_treats_sources_as_data_not_instructions, ::test_user_prompt_delimits_data_and_question, ::test_faq_question_text_stays_inside_source_tags.</t>
  </si>
  <si>
    <t>FR-GR1</t>
  </si>
  <si>
    <t>En yüksek arama skoru yapılandırılmış eşiğin altında kaldığı durumunda, sistem dil modelini çağırmadan 'bilgi bulunamadı' cevabı döndürmelidir.</t>
  </si>
  <si>
    <t>Eşik altı soruda LLM çağrı sayısı 0'dır; eşikler skor türü başına yapılandırma dosyasından okunur.</t>
  </si>
  <si>
    <t>guardrails/gate.py; test_pipeline.py::test_below_threshold_returns_bilgi_bulunamadi_with_no_llm_call_and_no_sources; test_gate.py::test_thresholds_from_config_not_constants.</t>
  </si>
  <si>
    <t>FR-GR2</t>
  </si>
  <si>
    <t>Sistem bir soruyu reddettiği durumunda, sistem cevapla birlikte hiçbir kaynak göstermemelidir.</t>
  </si>
  <si>
    <t>Bilgi bulunamadı, kapsam dışı ve atıf reddi cevaplarında kaynak ve atıf listesi boştur.</t>
  </si>
  <si>
    <t>test_api.py::test_refusals_return_no_sources; test_pipeline.py::test_llm_not_answerable_returns_no_sources; test_pages.py::test_not_found_is_a_reply_without_sources.</t>
  </si>
  <si>
    <t>FR-GR3</t>
  </si>
  <si>
    <t>Dil modeli atıfsız bir cevap veya verilmemiş bir kaynağa atıf ürettiği durumunda, sistem cevabı 'bilgi bulunamadı' cevabına dönüştürmelidir.</t>
  </si>
  <si>
    <t>Uydurma atıflı ve atıfsız sahte LLM çıktıları reddedilir.</t>
  </si>
  <si>
    <t>guardrails/citations.py; test_pipeline.py::test_llm_answer_with_fabricated_citation_is_rejected_to_bilgi_bulunamadi, ::test_uncited_answer_is_refused; test_citations.py.</t>
  </si>
  <si>
    <t>FR-GR4</t>
  </si>
  <si>
    <t>Soru TÜBİTAK destek programları ve Ar-Ge mevzuatı kapsamı dışında olduğu durumunda, sistem soruyu kapsam dışı olduğunu belirterek reddetmelidir.</t>
  </si>
  <si>
    <t>Kapsam dışı sorularda arama yapılmaz; test setindeki kapsam dışı soruların ret oranı raporlanır.</t>
  </si>
  <si>
    <t>guardrails/scope.py; test_pipeline.py::test_out_of_scope_returns_kapsam_disi_without_retrieval_or_sources; 6 koşunun hepsinde kapsam dışı ret oranı 1,0 (docs/sample-reports/*.metrics.json).</t>
  </si>
  <si>
    <t>v3b'de 2 kapsam içi soru yanlışlıkla kapsam dışı sayıldı (counts.scope_false_rejections).</t>
  </si>
  <si>
    <t>FR-GR5</t>
  </si>
  <si>
    <t>Soru kaynaklarla yalnızca kısmen cevaplanabilirken, sistem cevaplanamayan kısmı cevapta açıkça belirtmelidir.</t>
  </si>
  <si>
    <t>Model 'eksik kısım' bildirdiğinde bu kısım cevaba eklenir.</t>
  </si>
  <si>
    <t>guardrails/postprocess.py; test_pipeline.py::test_missing_part_appended; test_postprocess.py::test_missing_part_appended.</t>
  </si>
  <si>
    <t>Mekanizma test edildi; etkisi ayrı bir metrikle ölçülmüyor.</t>
  </si>
  <si>
    <t>FR-GR6</t>
  </si>
  <si>
    <t>Atıf yapılan kaynak bilgiyi çağrı duyurusuna yönlendirirken, sistem cevapta ilgili duyuru sayfasının bağlantısını vermelidir.</t>
  </si>
  <si>
    <t>'çağrı duyurusunda belirtilir' içeren kaynakta cevap program sayfası URL'sini içerir.</t>
  </si>
  <si>
    <t>test_pipeline.py::test_announcement_link_added_when_cited_source_defers_to_call, ::test_announcement_link_prefers_cited_program_page, ::test_no_announcement_link_from_uncited_source.</t>
  </si>
  <si>
    <t>FR-GR7</t>
  </si>
  <si>
    <t>Aynı konuda farklı sürüm tarihli kaynaklar bulunurken, sistem cevabı en güncel sürüm tarihli kaynağa dayandırmalıdır.</t>
  </si>
  <si>
    <t>Test setindeki sürüm sorularında cevap en güncel değeri verir.</t>
  </si>
  <si>
    <t>generation/prompts.py en yeni sürümü öne alır (test_prompts.py::test_newer_version_listed_first_same_type_program); v3b sürüm sorularında doğruluk 0,9 (qwen3:4b hakem).</t>
  </si>
  <si>
    <t>Claude incelemesinde sürüm sorularında eski değeri seçme hataları görüldü (docs/sample-reports/claude-degerlendirme.md); 111 belgede sürüm tarihi yok.</t>
  </si>
  <si>
    <t>FR-GR8</t>
  </si>
  <si>
    <t>Program belirtilmeyen bir sorunun cevabı programa göre değişirken, sistem cevabı programlara göre ayrıştırarak vermelidir.</t>
  </si>
  <si>
    <t>Test setindeki belirsiz sorularda cevap programları ayrı ayrı adlandırır (programs_split_rate).</t>
  </si>
  <si>
    <t>Kural istemde var (generation/prompts.py, kural 7) ama 6 koşunun hepsinde programs_split_rate 0,0; v3b belirsiz sorularda doğruluk 0,6.</t>
  </si>
  <si>
    <t>Küçük LLM tek programın değerini genel kural gibi veriyor (claude-degerlendirme.md).</t>
  </si>
  <si>
    <t>FR-GR11</t>
  </si>
  <si>
    <t>Cevap kaynaklarda geçmeyen bir sayı içerdiği durumunda, sistem o cümleyi cevaptan çıkarmalıdır.</t>
  </si>
  <si>
    <t>number_check: strip varsayılandır; sayı yalnız atıf yapılmamış bir kaynakta geçiyorsa atıf onarılır; hiçbir cümle kalmazsa cevap reddedilir.</t>
  </si>
  <si>
    <t>guardrails/numbers.py; test_numbers.py::test_fabricated_duration_sentence_is_stripped, ::test_number_in_uncited_prompt_source_repairs_the_citation; test_pipeline.py::test_number_guardrail_strip_drops_the_ungrounded_sentence.</t>
  </si>
  <si>
    <t>Bilinen açıklar: q083'te uydurma tutar denetimden geçiyor; sorudaki sayı kanıt sayılabiliyor (test_question_grounding_security.py, strict xfail); 'yüzde doksan beşi' 90 okunuyordu, düzeltildi (test_numbers.py::test_suffix_on_the_last_number_word_keeps_the_whole_number).</t>
  </si>
  <si>
    <t>FR-E1</t>
  </si>
  <si>
    <t>Test seti, TÜBİTAK başvuru süreçleri ve mevzuatı hakkında en az 100 soru içermelidir.</t>
  </si>
  <si>
    <t>Soru türleri: tek belgeli, çok belgeli, sürüm ve belirsiz (cevaplanmalı); cevabı corpus'ta olmayan ve kapsam dışı (reddedilmeli). eval/testset_v1.jsonl şema doğrulamasından geçer.</t>
  </si>
  <si>
    <t>eval/testset_v1.jsonl: 104 soru = 43 tek belgeli + 16 çok belgeli + 10 sürüm + 10 belirsiz + 15 cevapsız + 10 kapsam dışı; 32 program kodu; test_testset.py::test_repo_testset_is_valid_and_distributed, ::test_type_distribution.</t>
  </si>
  <si>
    <t>FR-E3</t>
  </si>
  <si>
    <t>Test seti, corpus'tan cevaplanması gereken tek belgeli ve çok belgeli sorular içermelidir.</t>
  </si>
  <si>
    <t>Çok belgeli sorunun cevabı en az iki belgenin birleşimini gerektirir ve kanıt alıntıları en az iki farklı belgeden gelir.</t>
  </si>
  <si>
    <t>Analiz</t>
  </si>
  <si>
    <t>43 tek belgeli + 16 çok belgeli soru (eval/README.md, tür dağılımı); test_testset.py::test_validate_multi_doc_types_need_two_documents.</t>
  </si>
  <si>
    <t>FR-E9</t>
  </si>
  <si>
    <t>Test seti, sistemin reddetmesi gereken kapsam dışı ve cevabı corpus'ta bulunmayan sorular içermelidir.</t>
  </si>
  <si>
    <t>Cevabı olmayan sorular corpus'ta tek tek aranarak doğrulanır; kapsam dışı sorular TÜBİTAK ve Ar-Ge ile ilgisizdir.</t>
  </si>
  <si>
    <t>15 cevapsız + 10 kapsam dışı soru (eval/README.md, 'Cevapsız soruların tasarımı').</t>
  </si>
  <si>
    <t>FR-E11</t>
  </si>
  <si>
    <t>Test seti, program belirtilmeden sorulan ve cevabı programa göre değişen belirsiz sorular içermelidir.</t>
  </si>
  <si>
    <t>Beklenen cevap programları ayrı ayrı verir; kanıt alıntıları en az iki belgeden gelir.</t>
  </si>
  <si>
    <t>10 belirsiz soru (eval/README.md, tür dağılımı); test_testset.py::test_validate_multi_doc_types_need_two_documents.</t>
  </si>
  <si>
    <t>FR-E12</t>
  </si>
  <si>
    <t>Test seti, eski ve yeni değeri bulunan bilgilere ilişkin sürüm soruları içermelidir.</t>
  </si>
  <si>
    <t>Beklenen cevap ve beklenen belgeler en güncel kaynağı esas alır; eski değer beklenen cevapta veya notta belirtilir.</t>
  </si>
  <si>
    <t>10 sürüm sorusu (eval/README.md, tür dağılımı ve 'surum sözleşmesi').</t>
  </si>
  <si>
    <t>10 sorudan 4'ü corpus içinde gerçek bir eski/yeni değer çatışmasıdır; diğer 6'sı tarihli veya çağrıya bağlı değerlerdir.</t>
  </si>
  <si>
    <t>FR-E16</t>
  </si>
  <si>
    <t>Test seti, her sorunun cevaplanması mı yoksa reddedilmesi mi gerektiğini belirtmelidir.</t>
  </si>
  <si>
    <t>Soru türü bunu belirler: tek belgeli, çok belgeli, sürüm ve belirsiz sorular cevaplanmalı (79); cevapsız ve kapsam dışı sorular reddedilmeli (25). Reddedilmesi gereken soruda beklenen cevap 'bilgi bulunamadı' veya 'kapsam dışı'dır, kanıt alıntısı ve beklenen belge yoktur.</t>
  </si>
  <si>
    <t>evaluation/testset.py ANSWERABLE, evaluation/metrics.py UNANSWERABLE; test_testset.py::test_validate_unanswerable_expected_answer_text, ::test_validate_rejects_quotes_for_unanswerable.</t>
  </si>
  <si>
    <t>FR-E22</t>
  </si>
  <si>
    <t>Test setindeki her soru, kısa bir beklenen cevap içermelidir.</t>
  </si>
  <si>
    <t>Beklenen cevap cevabın doğruluğunu değerlendirmede referans olarak kullanılır; beklenen sayılar beklenen cevapta tam sayı olarak geçer.</t>
  </si>
  <si>
    <t>domain/evaluation.py TestQuestion.beklenen_cevap; test_testset.py::test_validate_expected_numbers_appear_in_answer, ::test_repo_testset_is_valid_and_distributed.</t>
  </si>
  <si>
    <t>FR-E13</t>
  </si>
  <si>
    <t>Test setindeki her cevaplanabilir soru, corpus metninde birebir geçen 1–3 kanıt alıntısı içermelidir.</t>
  </si>
  <si>
    <t>Her alıntı beklenen belgenin ayrıştırılmış metninde bulunur; büyük/küçük harf ve boşluk farkı dışında kelimeler değişmez.</t>
  </si>
  <si>
    <t>117 alıntı: 48 soruda 1, 24 soruda 2, 7 soruda 3 alıntı; test_testset.py::test_validate_requires_quotes_for_answerable, ::test_validate_limits_quote_count, ::test_repo_testset_quotes_match_parsed_corpus.</t>
  </si>
  <si>
    <t>FR-E23</t>
  </si>
  <si>
    <t>Test setindeki her cevaplanabilir soru, cevabın dayandığı beklenen belgeleri listelemelidir.</t>
  </si>
  <si>
    <t>Her alıntının belgesi beklenen belgeler arasındadır; sürüm sorularında yalnız en güncel belge listelenir.</t>
  </si>
  <si>
    <t>test_testset.py::test_validate_quote_doc_must_be_expected, ::test_validate_unknown_document; belge isabeti metriği bu alanı kullanır (FR-E26).</t>
  </si>
  <si>
    <t>FR-E24</t>
  </si>
  <si>
    <t>Beklenen cevap bir oran, tutar, süre veya tarih içerirken, test seti bu sayıları beklenen sayılar alanında listelemelidir.</t>
  </si>
  <si>
    <t>Listelenen her sayı beklenen cevapta tam sayı olarak geçer ('2', '24 ay' içinde bulunmuş sayılmaz).</t>
  </si>
  <si>
    <t>104 sorunun 69'unda beklenen_sayilar dolu; test_testset.py::test_validate_expected_numbers_appear_in_answer, ::test_validate_expected_number_needs_number_boundaries.</t>
  </si>
  <si>
    <t>FR-E4</t>
  </si>
  <si>
    <t>Test seti dokümantasyonu, soruların nasıl üretildiğini, şemasını, tür dağılımını ve inceleme durumunu açıklamalıdır.</t>
  </si>
  <si>
    <t>eval/README.md soruların bir dil modeli (Claude) tarafından ayrıştırılmış belgeler okunarak yazıldığını (sentetik), bunun yarattığı yanlılığı ve henüz insan incelemesinden geçmediğini açıkça yazar.</t>
  </si>
  <si>
    <t>İnceleme</t>
  </si>
  <si>
    <t>eval/README.md (Şema, Soru türleri ve dağılım, Üretim yöntemi, Bilinen sınırlar, durum notu).</t>
  </si>
  <si>
    <t>Şemadaki uretim alanı 104 soruda 'manuel'dir; bu değer 'otomatik aday üreticisiyle değil, doğrudan yazıldı' anlamındadır, soruların bir insan tarafından yazıldığını göstermez.</t>
  </si>
  <si>
    <t>FR-E14</t>
  </si>
  <si>
    <t>Test setindeki her soru, sonuçları raporlanmadan önce bir insan tarafından gözden geçirilmelidir.</t>
  </si>
  <si>
    <t>Tüm sorularda dogrulandi: true; düzeltmeler review_notes alanındadır.</t>
  </si>
  <si>
    <t>104 sorunun hepsi dogrulandi: false; inceleme listesi eval/review_queue.md (bekliyor). Yapılan tek inceleme bir dil modeline (Fable) aittir.</t>
  </si>
  <si>
    <t>Metrikler doğrulanmış/doğrulanmamış ayrımıyla da raporlanabiliyor (test_metrics.py::test_by_verified); şu an tüm sonuçlar doğrulanmamış sorulara dayanır.</t>
  </si>
  <si>
    <t>FR-E5</t>
  </si>
  <si>
    <t>Getirilen parçalar beklenen belgedeki kanıt alıntısını içerdiğinde, Değerlendirme modülü aramayı isabetli saymalıdır.</t>
  </si>
  <si>
    <t>Eşleşme büyük/küçük harf ve boşluk farklarından bağımsızdır; alıntı aynı belgenin parçasında geçmelidir; ölçüm parçalama stratejisinden bağımsızdır, bu yüzden farklı parçalama yöntemleri aynı ölçüyle karşılaştırılır.</t>
  </si>
  <si>
    <t>evaluation/matching.py; test_matching.py::test_quote_matches_across_whitespace_and_case, ::test_hits_require_same_doc, ::test_quote_split_across_two_chunks_is_miss.</t>
  </si>
  <si>
    <t>FR-E6</t>
  </si>
  <si>
    <t>Değerlendirme modülü, cevaplanabilir sorular için Recall@5, Recall@10 ve MRR değerlerini hesaplamalıdır.</t>
  </si>
  <si>
    <t>Reddedilmesi gereken sorular arama metriklerine katılmaz; değerler her koşunun metrics.json dosyasına ve raporuna yazılır.</t>
  </si>
  <si>
    <t>evaluation/metrics.py; test_metrics.py::test_recall_at_k_partial, ::test_mrr, ::test_unanswerable_excluded. Ölçülen (docs/sample-reports/ozet.md, RAG rehberi §4.4): R@5 v0 0,284 · v0r 0,487 · v1 0,439 · v2 0,543 · v3 0,699 · v3b 0,727; v3b R@10 0,784, MRR 0,623.</t>
  </si>
  <si>
    <t>FR-E26</t>
  </si>
  <si>
    <t>Değerlendirme modülü, beklenen belgelerden en az birinin ilk 5 ve ilk 10 sonuç içinde gelme oranını (belge isabeti) hesaplamalıdır.</t>
  </si>
  <si>
    <t>metrics.json doc_hit_at_5 ve doc_hit_at_10 alanlarını içerir; belge isabeti alıntı isabetinden yüksekse doğru belge gelmiş ama doğru bölüm gelmemiştir.</t>
  </si>
  <si>
    <t>evaluation/matching.py; test_matching.py::test_doc_hit_k; v3b belge isabeti@5 0,844, @10 0,896 (v3b.metrics.json).</t>
  </si>
  <si>
    <t>FR-E27</t>
  </si>
  <si>
    <t>Değerlendirme modülü, arama metriklerini soru türüne göre ayrı ayrı raporlamalıdır.</t>
  </si>
  <si>
    <t>metrics.json by_type alanı tek belgeli, çok belgeli, sürüm ve belirsiz sorular için Recall@k, MRR ve belge isabetini ayrı verir.</t>
  </si>
  <si>
    <t>evaluation/metrics.py by_type; test_metrics.py::test_by_type_groups. v3b R@5: tek belgeli 0,881 · çok belgeli 0,625 · sürüm 0,800 · belirsiz 0,111 (v3b.metrics.json; RAG rehberi §4.4).</t>
  </si>
  <si>
    <t>FR-E29</t>
  </si>
  <si>
    <t>Değerlendirme modülü, her cevaplanabilir soru için kanıtın aday havuzundaki ilk sırasını kaydetmelidir.</t>
  </si>
  <si>
    <t>per_question.jsonl her soru için kanıt alıntısı başına ilk sırayı (evidence_hits) ve ilk isabet sırasını (first_hit_rank) içerir; sıra yeniden sıralanmış sonuçlardan sonra havuzun kalanını da (30 aday) kapsar; kanıt hiç gelmediyse boştur.</t>
  </si>
  <si>
    <t>domain/evaluation.py QuestionResult.first_hit_rank; test_matching.py::test_first_hit_rank, ::test_each_quote_gets_its_own_rank; test_runner.py::test_ranked_results_puts_reranked_first_then_rest_of_pool, ::test_per_question_rows_valid_schema.</t>
  </si>
  <si>
    <t>FR-E30</t>
  </si>
  <si>
    <t>Rapor üretici, her yapılandırma için kanıtın ilk sırasının dağılımını (1. sıra, 2–5, 6–30, havuzda yok) göstermelidir.</t>
  </si>
  <si>
    <t>Dağılım hangi katmanın neyi düzelttiğini gösterir: reranker '6–30' sütununu, parçalama ve embedding modeli 'yok' sütununu küçültür.</t>
  </si>
  <si>
    <t>İsteğe bağlı</t>
  </si>
  <si>
    <t>RAG rehberi §4.4 tablosu (77 soru): v0 11/16/21/29 · v0r 24/19/5/29 · v3 38/22/5/12 · v3b 38/24/7/8.</t>
  </si>
  <si>
    <t>Dağılım per_question.jsonl'deki first_hit_rank'tan elle çıkarıldı; rapor üretici (reporting/report.py, summary.py) bu tabloyu otomatik üretmiyor.</t>
  </si>
  <si>
    <t>FR-E7</t>
  </si>
  <si>
    <t>Cevap değerlendirmesi, her yapılandırmanın cevaplanabilir sorulara verdiği her cevabı beklenen cevap ve atıf yapılan kaynaklarla karşılaştırarak doğru veya yanlış olarak işaretlemelidir.</t>
  </si>
  <si>
    <t>Altı yapılandırmanın 624 cevabı Claude (Opus) ile tek tek okunur; kararlar artifacts/judge/&lt;koşu&gt;_claude.json dosyalarındadır; gereksiz ret yanlış sayılır; doğruluk = doğru cevap / 79 cevaplanabilir soru; rapor üretici yalnız koşunun tüm sorularını kapsayan güncel bir incelemeyi kullanır.</t>
  </si>
  <si>
    <t>reporting/review.py; test_review.py::test_apply_review_replaces_judge_metrics_and_notes, ::test_review_must_cover_every_row, ::test_stale_review_of_other_answers_is_ignored. Ölçülen (docs/sample-reports/claude-degerlendirme.md): v0 0,380 (30/79) · v0r 0,557 · v1 0,418 · v2 0,519 · v3 0,633 (50/79) · v3b 0,620 (49/79); tür bazında doğru sayıları aynı raporda.</t>
  </si>
  <si>
    <t>İnceleme sistemin dışında, Claude (Opus) ile yapıldı; soruları da Claude yazdığı için aynı model ailesi hem beklenen cevabı hem kararı vermiş olur.</t>
  </si>
  <si>
    <t>FR-E17</t>
  </si>
  <si>
    <t>Cevap değerlendirmesi, cevap verilen her soruda cevabın her iddiasının atıf yapılan kaynaklarda geçip geçmediğini (sadakat) işaretlemelidir.</t>
  </si>
  <si>
    <t>Sadakat = her iddiası atıf yapılan kaynakta geçen cevapların oranı; karar verilemeyen cevaplar orana katılmaz.</t>
  </si>
  <si>
    <t>reporting/review.py apply_review (sadik); test_review.py::test_apply_review_replaces_judge_metrics_and_notes. Ölçülen: v0 0,532 · v2 0,696 · v3 0,806 · v3b 0,761 (claude-degerlendirme.md).</t>
  </si>
  <si>
    <t>İncelemede her kaynağın yaklaşık ilk 1.000 karakteri gösterildi; dayanak kesilen kısımda kaldıysa cevap sadık değil sayılmış olabilir.</t>
  </si>
  <si>
    <t>FR-E18</t>
  </si>
  <si>
    <t>Cevap değerlendirmesi, reddedilmesi gereken sorularda doğru ret oranını ölçmelidir.</t>
  </si>
  <si>
    <t>25 soru (15 cevapsız + 10 kapsam dışı) üzerinden hesaplanır; cevap metninde 'kaynakta yok' diyen cevap da doğru ret sayılır; ret nedenleri (kapsam dışı, eşik altı, modelin 'cevaplanamaz' demesi, atıfsız cevap, dayanaksız sayı) raporda ayrıca sayılır.</t>
  </si>
  <si>
    <t>reporting/review.py (dogru_ret); evaluation/metrics.py refusal_counts; test_metrics.py::test_correct_rejection, ::test_refusal_counts. Ölçülen: v3b 0,880 (22/25, en iyi) · v3 0,800 · v0r 0,680; kapsam dışı sorular altı koşunun hepsinde 10/10 (claude-degerlendirme.md).</t>
  </si>
  <si>
    <t>FR-E19</t>
  </si>
  <si>
    <t>Cevap değerlendirmesi, cevaplanabilir sorularda gereksiz ret oranını ölçmelidir.</t>
  </si>
  <si>
    <t>Gereksiz ret = reddedilen cevaplanabilir soru / 79; metrics.json generation.false_rejection_rate alanını içerir.</t>
  </si>
  <si>
    <t>test_metrics.py::test_false_rejection. Ölçülen: v3b 0,076 (6/79) · v3 0,063 · en düşük v0r 0,051 · en yüksek v1 0,114 (docs/sample-reports/ozet.md).</t>
  </si>
  <si>
    <t>FR-E31</t>
  </si>
  <si>
    <t>Cevaplanabilir bir soru reddedildiğinde, cevap değerlendirmesi reddin hangi aşamadan kaynaklandığını (arama, üretim ve denetim, belirsiz) kaydetmelidir.</t>
  </si>
  <si>
    <t>Kanıt ilk 5 kaynakta yoksa hata aramadadır; kanıt ilk 5'te olduğu hâlde model veya denetim cevap vermediyse üretimdedir; karar verilemiyorsa belirsizdir. Sayılar her koşunun raporunda tek satırda verilir.</t>
  </si>
  <si>
    <t>reporting/review.py review_counts (hata_yeri); reporting/report.py ERROR_PLACES, _review_line; test_report.py::test_reviewed_report_shows_claude_metrics_and_notes. Ölçülen: altı koşudaki 36 gereksiz retin 9'u arama, 16'sı üretim ve denetim, 11'i belirsiz (claude-degerlendirme.md).</t>
  </si>
  <si>
    <t>FR-E32</t>
  </si>
  <si>
    <t>Reddedilmesi gereken bir soruya dayanaksız bir cevap verildiği durumunda, cevap değerlendirmesi bu cevabı uydurma olarak saymalıdır.</t>
  </si>
  <si>
    <t>Uydurma sayısı her koşunun raporunda ve özet değerlendirmede verilir.</t>
  </si>
  <si>
    <t>reporting/review.py (karar: uydurma); reporting/report.py _review_line; test_report.py::test_reviewed_report_shows_claude_metrics_and_notes. Ölçülen: v0 6 · v0r 8 · v1 4 · v2 6 · v3 5 · v3b 3 (claude-degerlendirme.md).</t>
  </si>
  <si>
    <t>Uydurmaların çoğu corpus'ta başka anlamda geçen bir tutarın soruya mal edilmesidir; sayı kaynakta geçtiği için sayı denetimi bunları yakalamaz.</t>
  </si>
  <si>
    <t>FR-E20</t>
  </si>
  <si>
    <t>Değerlendirme modülü, beklenen sayıların (oran, tutar, süre) cevapta geçip geçmediğini kural tabanlı olarak denetlemelidir.</t>
  </si>
  <si>
    <t>Yüzde işareti ve binlik ayırıcı farkları eşleşmeyi bozmaz; hakemsiz koşuda doğruluk bu kurala göre hesaplanır.</t>
  </si>
  <si>
    <t>evaluation/judge.py numbers_present; test_judge.py::test_numbers_present_ignores_percent_and_separators; test_metrics.py::test_without_judge_accuracy_is_the_number_rule.</t>
  </si>
  <si>
    <t>FR-E33</t>
  </si>
  <si>
    <t>Değerlendirme modülü, cevaptaki atıfların beklenen kanıtı içeren kaynaklara işaret etme oranını (atıf kesinliği) kural tabanlı olarak ölçmelidir.</t>
  </si>
  <si>
    <t>metrics.json generation.citation_precision alanını içerir; atıfın verilen kaynaklardan birine işaret etmesi ayrıca her cevapta güvenlik önlemiyle zorunludur (FR-GR3) ve onarılan atıflar citation_repair_rate ile sayılır.</t>
  </si>
  <si>
    <t>evaluation/judge.py, evaluation/runner.py (rule_check.atif_kesinligi); test_judge.py::test_citation_precision; test_metrics.py::test_citation_repair_rate_only_when_reported. v3b atıf kesinliği 0,463 (v3b.metrics.json).</t>
  </si>
  <si>
    <t>FR-E21</t>
  </si>
  <si>
    <t>Değerlendirme modülü, kaynaklarda bulunmayan (uydurma) sayı içeren cevapların oranını ölçmelidir.</t>
  </si>
  <si>
    <t>Güvenlik önleminden geçmiş cevaplarda da kaynakta olmayan sayılar sayılır ve raporlanır.</t>
  </si>
  <si>
    <t>metrics.py number_rejection_rate / number_strip_rate yalnız güvenlik önleminin yakaladıklarını sayar (v3b 0,033 / 0,0); test_metrics.py::test_number_guardrail_rates_over_questions_that_reached_the_llm.</t>
  </si>
  <si>
    <t>Denetimden geçen uydurma sayılar (ör. q083) otomatik ölçülmüyor; Claude incelemesi uydurma cevapları elle saydı (FR-E32).</t>
  </si>
  <si>
    <t>FR-E34</t>
  </si>
  <si>
    <t>Otomatik hakem etkinleştirildiğinde, Değerlendirme modülü cevap doğruluğunu ve sadakati yapılandırılmış hakem modeliyle puanlamalıdır.</t>
  </si>
  <si>
    <t>`rag run --no-judge` hakemi kapatır; hakemin adı metrics.json'a yazılır; raporlar otomatik hakemin kararlarını göstermez, Claude incelemesi yoksa doğruluk göstermez.</t>
  </si>
  <si>
    <t>evaluation/judge.py LlmJudge; test_judge.py::test_judge_parses_verdict; test_runner.py::test_judge_called_only_for_answered_answerable; test_cli_run.py::test_run_cli_no_judge; test_report.py::test_write_report_without_review_has_no_accuracy.</t>
  </si>
  <si>
    <t>Raporlanan sayılarda kullanılmaz. Yerel qwen3:4b hakem iyimser çıktı: v3b doğruluğu hakemle 0,848, Claude incelemesinde 0,620.</t>
  </si>
  <si>
    <t>FR-GR10</t>
  </si>
  <si>
    <t>Değerlendirme modülü, güvenlik önlemi eşiği için farklı eşik değerlerindeki doğru ret ve yanlış ret oranlarına dayanarak bir eşik önermelidir.</t>
  </si>
  <si>
    <t>Önerilen eşik, yanlış ret sınırı içinde doğru reti en yüksek tutan değerdir; raporda oranlarıyla yazılır.</t>
  </si>
  <si>
    <t>Gösterim</t>
  </si>
  <si>
    <t>evaluation/calibration.py; test_calibration.py::test_suggest_respects_false_rejection_cap; test_report.py::test_calibration_uses_the_run_rows; docs/sample-reports/v3.md: rerank eşiği için önerilen 2 (doğru ret 0,533, yanlış ret 0,078).</t>
  </si>
  <si>
    <t>FR-X1</t>
  </si>
  <si>
    <t>Sistem, bir deneyi tek bir YAML yapılandırma dosyasıyla tanımlayıp tek bir komutla çalıştırmalıdır.</t>
  </si>
  <si>
    <t>`rag run configs/experiments/v3.yaml` uçtan uca koşar; v0, v0r, v1, v2, v3, v3b hazır gelir; çıktılar artifacts/runs/&lt;run_id&gt;/ altına yazılır.</t>
  </si>
  <si>
    <t>configs/experiments/ (6 dosya); test_config.py::test_experiment_configs_match_ladder; test_runner.py::test_run_writes_three_files_and_report_path; 6 koşu 2026-10-16 (artifacts/runs/).</t>
  </si>
  <si>
    <t>FR-X3</t>
  </si>
  <si>
    <t>Rapor üretici, her koşu için yöntemi, önceki basamakla karşılaştırmalı ana metrikleri ve iyi ve kötü örnek soruları içeren kısa bir Markdown rapor üretmelidir.</t>
  </si>
  <si>
    <t>Başlıkta yöntem, corpus ve hakem adı; fark sütunlu metrik tablosu; ret nedenleri ve eşik önerisi birer satır; 1 iyi ve 2 kötü örnek (soru, kanıt, cevap, hakem kararı).</t>
  </si>
  <si>
    <t>reporting/report.py; test_report.py::test_report_is_short_and_has_sections_in_order, ::test_key_metrics_table_with_previous_rung, ::test_header_names_run_corpus_and_judge; test_examples.py::test_examples_one_good_two_bad; docs/sample-reports/v0.md…v3b.md.</t>
  </si>
  <si>
    <t>Raporlar 2026-10-19'da kısaltıldı; tekniklerin kavramsal anlatımı ve dersler rehbere taşındı (FR-X12). Doğruluk, sadakat ve doğru ret Claude incelemesi varsa ondan gelir (FR-E7).</t>
  </si>
  <si>
    <t>FR-X8</t>
  </si>
  <si>
    <t>Rapor üretici, tüm deney yapılandırmalarını aynı test setinde arama ve cevap metrikleriyle karşılaştıran bir özet rapor üretmelidir.</t>
  </si>
  <si>
    <t>Özet rapor koşuları merdiven sırasıyla, yöntemleri yazılı olarak tek tabloda gösterir.</t>
  </si>
  <si>
    <t>reporting/summary.py; test_summary.py::test_summary_table_lists_runs_in_ladder_order, ::test_highlight_sentence; docs/sample-reports/ozet.md.</t>
  </si>
  <si>
    <t>FR-X12</t>
  </si>
  <si>
    <t>Proje dokümantasyonu, her deney yapılandırmasının yöntemini ve ölçülen sonuçlarını ders anlatımı biçiminde açıklamalıdır.</t>
  </si>
  <si>
    <t>Her basamak için ne değiştiği, metriklere etkisi ve nedeni anlatılır; örnek raporlar depodadır.</t>
  </si>
  <si>
    <t>docs/RAG-GELISTIRME-REHBERI.md §0 (yapılandırma tablosu), §2–§5 (yöntemler ve ölçülen etkileri), §7; docs/sample-reports/ (6 rapor + metrics.json + ozet.md + claude-degerlendirme.md).</t>
  </si>
  <si>
    <t>FR-U2</t>
  </si>
  <si>
    <t>Web arayüzü, soruları ve cevapları aynı sayfada sohbet akışı olarak göstermelidir.</t>
  </si>
  <si>
    <t>Her soru akışa bir tur olarak eklenir; JavaScript kapalıyken de soru tam sayfa olarak cevaplanır.</t>
  </si>
  <si>
    <t>interfaces/web/pages.py, templates/sorgu.html; test_pages.py::test_sorgu_page_is_a_conversation_panel, ::test_turn_has_the_question_and_the_reply, ::test_full_page_with_question_renders_the_turn_without_javascript.</t>
  </si>
  <si>
    <t>FR-U7</t>
  </si>
  <si>
    <t>Web arayüzü, her cevabın altında yalnızca o cevapta atıf yapılan kaynakları numaralı olarak listelemelidir.</t>
  </si>
  <si>
    <t>Kaynak satırı belge adı, konum ve bağlantı içerir; birden fazla cevabın kaynak bağlantıları çakışmaz.</t>
  </si>
  <si>
    <t>test_pages.py::test_sources_block_lists_only_cited_sources, ::test_sources_block_lists_cited_sources_with_location_and_links, ::test_two_turns_never_share_anchors.</t>
  </si>
  <si>
    <t>FR-U8</t>
  </si>
  <si>
    <t>Web arayüzü, kullanıcının cevabı üretecek yapılandırmayı (v0–v3b) yöntemleri açıkça yazılmış bir seçiciden seçmesine izin vermelidir.</t>
  </si>
  <si>
    <t>Seçili yapılandırmanın parçalama, embedding, arama, reranker ve LLM bilgisi gösterilir; indeksi olmayan yapılandırma 'indeks yok' notuyla pasiftir.</t>
  </si>
  <si>
    <t>interfaces/web/about.py describe_methods; test_pages.py::test_config_selector_uses_plain_labels, ::test_selected_config_methods_are_shown_under_the_selector, ::test_configs_without_index_are_disabled_in_the_selector.</t>
  </si>
  <si>
    <t>FR-U3</t>
  </si>
  <si>
    <t>Web arayüzü, corpus kaynaklarını, belge sayılarını, kullanılan modelleri, yöntemleri ve güvenlik önlemlerini anlatan bir Hakkında sayfası sunmalıdır.</t>
  </si>
  <si>
    <t>Sayfa yapılandırma ve manifestlerden üretilir; ingest gibi yönetim düğmeleri içermez.</t>
  </si>
  <si>
    <t>templates/hakkinda.html; test_pages.py::test_about_page_describes_corpus_models_and_methods, ::test_about_page_has_no_ingest_controls, ::test_old_documents_page_redirects_to_about.</t>
  </si>
  <si>
    <t>Eski Belgeler ve Deneyler sayfaları kaldırıldı; /belgeler adresi /hakkinda'ya yönlenir.</t>
  </si>
  <si>
    <t>FR-U11</t>
  </si>
  <si>
    <t>Kullanıcı bir kaynağın önizleme bağlantısına tıkladığında, Web arayüzü belgenin kimlik bilgilerini ve ayrıştırılmış bölümlerini göstermelidir.</t>
  </si>
  <si>
    <t>Önizleme bölümlere bağlantı verir; bilinmeyen belge için 404 sayfası açılır.</t>
  </si>
  <si>
    <t>test_pages.py::test_document_preview_lists_sections_with_anchors, ::test_unknown_document_is_404_page.</t>
  </si>
  <si>
    <t>FR-U5</t>
  </si>
  <si>
    <t>Web arayüzü, betik, stil ve yazı tiplerini harici bir sunucuya bağlanmadan ve ayrı bir frontend derleme adımı gerektirmeden sunmalıdır.</t>
  </si>
  <si>
    <t>Sayfalar sunucu tarafında üretilir (FastAPI + Jinja2 + HTMX); Node/npm gerekmez; CDN bağlantısı yoktur.</t>
  </si>
  <si>
    <t>interfaces/web/static/ (htmx.min.js, fonts/); test_pages.py::test_no_external_scripts_or_styles; test_app.py::test_static_assets_are_served_locally.</t>
  </si>
  <si>
    <t>FR-HF1</t>
  </si>
  <si>
    <t>Barındırılan sürüm, Hugging Face Spaces'te ZeroGPU üzerinde çalışan bir Gradio uygulaması olarak cevap modelini (Qwen3 4B), embedding modellerini ve yeniden sıralayıcıyı Space'in GPU'sunda çalıştırmalıdır.</t>
  </si>
  <si>
    <t>Space yerel kurulum ve API anahtarı gerektirmeden açılır ve soru cevaplar; dil modeli Qwen/Qwen3-4B, llm.provider: transformers ile süreç içinde çalışır; embedder, reranker ve LLM cuda'dadır; GPU yalnız soru cevaplanırken bağlanır.</t>
  </si>
  <si>
    <t>app_gradio.py; interfaces/gradio_app/ (app.py, chat.py, gpu.py, settings.py); deploy/hf-space-gradio/space-overlay.yaml (embedder/reranker/llm device: cuda, llm.provider: transformers); test_settings.py::test_repository_zerogpu_overlay_is_valid; test_gpu.py::test_with_spaces_the_function_is_wrapped_with_the_duration; test_transformers_llm.py. Canlı Space https://huggingface.co/spaces/lolalol57/tubitak-mevzuat-rag 2026-10-21'de denendi: kaynaklı cevap verdi, kapsam dışı soruyu reddetti.</t>
  </si>
  <si>
    <t>FR-HF2</t>
  </si>
  <si>
    <t>Barındırılan sürüm, Qdrant ve Ollama olmadan önceden hesaplanmış NumPy indeks paketiyle arama yapmalıdır.</t>
  </si>
  <si>
    <t>Paket `rag export-space` ile üretilir (3 koleksiyon, ~149 MB); vektör deposu salt okunur vector_store.provider: numpy'dir ve bellekte Qdrant ile aynı kosinüs skorlarını verir; yöntemler (parçalama, hibrit arama, reranker, eşikler) deney yapılandırmalarıyla aynıdır.</t>
  </si>
  <si>
    <t>adapters/numpy_store.py; interfaces/space_bundle.py; deploy/hf-space-gradio/prepare_space.py, KURULUM.md; test_settings.py::test_build_backend_fetches_the_space_index_for_the_numpy_store; tests/unit/adapters/test_numpy_store.py; tests/unit/interfaces/test_space_bundle.py.</t>
  </si>
  <si>
    <t>FR-HF3</t>
  </si>
  <si>
    <t>Barındırılan sürüm, web arayüzüyle aynı sohbet akışını, yapılandırma seçicisini ve cevap başına numaralı kaynak listesini sunmalıdır.</t>
  </si>
  <si>
    <t>Arka uç web arayüzüyle aynıdır (PipelineBackend); Hakkında içeriği ve uyarı metni aynıdır; ret cevapları kaynaksızdır.</t>
  </si>
  <si>
    <t>interfaces/gradio_app/view.py, content.py; test_view.py::test_answered_turn_has_linked_citations_and_numbered_sources, ::test_selector_helpers; test_chat.py::test_selector_choices_default_and_methods; test_content.py::test_answer_lists_only_cited_sources_with_links_and_context, ::test_about_sections_mirror_the_web_page, ::test_refusals_follow_the_web_texts.</t>
  </si>
  <si>
    <t>FR-A1</t>
  </si>
  <si>
    <t>REST API, soru sorma, belge listeleme, ingest başlatma, koşu listeleme, koşu başlatma, koşu ayrıntısı, rapor ve sağlık kontrolü uç noktalarını OpenAPI belgeleriyle sunmalıdır.</t>
  </si>
  <si>
    <t>8 uç nokta /api altında yanıt verir; /docs sayfası açılır; uzun işler 202 ve iş kimliğiyle başlar.</t>
  </si>
  <si>
    <t>interfaces/web/api.py; test_api.py::test_ask_returns_answer_with_citations_and_disclaimer, ::test_ingest_starts_job_202, ::test_runs_list_and_detail, ::test_run_report_markdown_and_html, ::test_health_ok, ::test_openapi_docs_available.</t>
  </si>
  <si>
    <t>FR-A4</t>
  </si>
  <si>
    <t>Bir istek geçersiz olduğu veya işlenirken hata oluştuğu durumunda, REST API Türkçe ve tutarlı bir {hata, detay} gövdesi döndürmelidir.</t>
  </si>
  <si>
    <t>Geçersiz istek 422, bilinmeyen kayıt 404, GPU meşgul 409, servis kapalı 503, beklenmeyen hata 500 döner; gövde aynı şemadadır.</t>
  </si>
  <si>
    <t>interfaces/web/errors.py; test_errors.py::test_validation_error_is_422_with_turkish_title_and_details, ::test_gpu_lock_is_409, ::test_unavailable_service_is_503, ::test_unexpected_error_is_500_with_message.</t>
  </si>
  <si>
    <t>FR-A5</t>
  </si>
  <si>
    <t>Yetkisiz bir istek ingest veya deney koşusu başlatmaya çalıştığı durumunda, REST API isteği işi başlatmadan reddetmelidir.</t>
  </si>
  <si>
    <t>Kimlik doğrulaması olmayan POST /api/ingest ve POST /api/runs istekleri iş başlatmaz; sahte localhost başlıkları yetki vermez.</t>
  </si>
  <si>
    <t>interfaces/web/api.py require_admin (TUBITAK_RAG_ADMIN_TOKEN + Bearer); test_admin_security.py (anonim, geçersiz anahtar, sahte localhost başlığı, sunucu anahtarı yok, geçerli anahtar).</t>
  </si>
  <si>
    <t>Anahtar tanımlı değilse ingest ve deney başlatma uç noktaları kapalıdır (403); soru sorma açık kalır.</t>
  </si>
  <si>
    <t>FR-CLI1</t>
  </si>
  <si>
    <t>Komut satırı arayüzü, fetch, ingest, run, report, ask, serve, export-index ve export-space komutlarını sunmalıdır.</t>
  </si>
  <si>
    <t>`rag --help` bu komutları listeler; geçersiz yapılandırmada komut 2 koduyla durur.</t>
  </si>
  <si>
    <t>interfaces/cli.py; test_cli.py::test_help_lists_six_commands, ::test_ask_cli_prints_answer_and_sources, ::test_serve_starts_uvicorn_with_the_lazy_pipeline_backend; test_index_bundle_cli.py.</t>
  </si>
  <si>
    <t>Uygulanmamış eval-gen yer tutucusu kaldırıldı.</t>
  </si>
  <si>
    <t>FR-CLI2</t>
  </si>
  <si>
    <t>Komut satırı arayüzü, kurulu indeksi başka bir makinede yüklenebilecek, SHA-256 özetli bir pakete aktarmalıdır.</t>
  </si>
  <si>
    <t>`rag export-index` her yapılandırmanın koleksiyonunu, BM25 indeksini ve manifest.json'u yazar.</t>
  </si>
  <si>
    <t>interfaces/index_bundle.py; test_index_bundle.py::test_export_writes_snapshots_bm25_meta_and_manifest; test_index_bundle_cli.py::test_export_index_uses_every_experiment_collection; ölçüm: 3 koleksiyon, 7,5 s; paket 243,7 MB (.env.example, README ~244 MB).</t>
  </si>
  <si>
    <t>FR-CLI3</t>
  </si>
  <si>
    <t>Yapılandırma ücretli bir harici dil modeli API'si seçtiğinde, Komut satırı arayüzü deney koşusu başlamadan önce isteklerin dış servise gideceğini ve ücretlendirileceğini bildirmelidir.</t>
  </si>
  <si>
    <t>Uyarı cevap modeli veya hakem harici bir API olduğunda stderr'e yazılır.</t>
  </si>
  <si>
    <t>interfaces/cli.py run uyarısı, config.py LlmConfig.is_external; test_cli_run.py::test_run_cli_warns_when_an_api_provider_is_configured, ::test_run_cli_warns_for_a_hosted_openai_compatible_endpoint, ::test_run_cli_does_not_warn_for_a_local_openai_compatible_endpoint.</t>
  </si>
  <si>
    <t>Anthropic ve yerel olmayan OpenAI uyumlu uç noktalar için uyarı verilir; yerel Ollama /v1 için verilmez.</t>
  </si>
  <si>
    <t>NFR-DOCKER1</t>
  </si>
  <si>
    <t>Docker paketi, uygulamayı, Qdrant'ı ve Ollama'yı gerekli modelleri indirerek tek bir docker compose komutuyla başlatmalıdır.</t>
  </si>
  <si>
    <t>`docker compose up` sonrası arayüz localhost'ta açılır; indeks, modeller ve koşu sonuçları adlandırılmış volume'larda kalıcıdır.</t>
  </si>
  <si>
    <t>docker-compose.yml; test_compose_file.py::test_stack_has_app_qdrant_ollama_and_init, ::test_named_volumes_persist_index_models_and_runs; test_bootstrap.py::test_first_start_pulls_model_warms_and_ingests; README: paketle ilk açılış imaj derleme hariç ~4 dk (GPU), sonraki ~15 s; README, Docker bölümü.</t>
  </si>
  <si>
    <t>NFR-DOCKER4</t>
  </si>
  <si>
    <t>GPU eki etkinleştirildiğinde, Docker paketi CUDA'lı PyTorch içeren imajla modelleri NVIDIA GPU üzerinde çalıştırmalıdır.</t>
  </si>
  <si>
    <t>docker-compose.gpu.yml GPU ayırır ve ayrı etiketli imaj derler; GPU görünmezse sessizce CPU'ya düşülmez.</t>
  </si>
  <si>
    <t>docker-compose.gpu.yml, Dockerfile (TORCH_INDEX_URL); test_compose_file.py::test_gpu_override_reserves_nvidia_devices; README: RTX 3080'de sıcak soru ~2,3 s.</t>
  </si>
  <si>
    <t>NFR-DOCKER5</t>
  </si>
  <si>
    <t>Hazır indeks paketi bulunduğunda, Docker paketi belge indirme, ayrıştırma ve embedding adımlarını atlayıp indeksi paketten yüklemelidir.</t>
  </si>
  <si>
    <t>Paket yerel klasörden veya INDEX_BUNDLE_URL'den alınır; her dosya SHA-256 ile doğrulanır; dolu bir koleksiyonun üzerine yazılmaz.</t>
  </si>
  <si>
    <t>test_bootstrap.py::test_bundle_restore_skips_fetch_and_ingest; test_index_bundle.py::test_restore_rejects_a_tampered_file, ::test_restore_is_idempotent_and_never_overwrites, ::test_remote_bundle_downloads_verifies_and_restores; test_compose_file.py::test_init_reads_the_prebuilt_index_bundle (varsayılan INDEX_BUNDLE_URL: Hugging Face veri seti lolalol57/tubitak-mevzuat-rag-index); ölçüm: boş volume'larla GPU'da init 227 s (paket geri yükleme 9 s).</t>
  </si>
  <si>
    <t>NFR-DOCKER6</t>
  </si>
  <si>
    <t>HF_TOKEN ortam değişkeni tanımlandığında, Docker paketi bu token'ı imaja yazmadan model indirmelerinde kullanmalıdır.</t>
  </si>
  <si>
    <t>Token yalnız tanımlıysa container'a geçer; erişim reddinde HF_TOKEN'ı açıklayan Türkçe hata verilir.</t>
  </si>
  <si>
    <t>test_compose_file.py::test_hf_token_is_passed_through_only_when_set; test_bootstrap.py::test_hf_access_error_explains_hf_token.</t>
  </si>
  <si>
    <t>NFR-HW1</t>
  </si>
  <si>
    <t>Sistem, varsayılan yapılandırmayla GPU bulunmayan sıradan bir bilgisayarda çalışmalıdır.</t>
  </si>
  <si>
    <t>Varsayılan LLM 8 milyar parametrenin altındadır (qwen3:4b); CPU modunda bir soru uçtan uca cevaplanır.</t>
  </si>
  <si>
    <t>test_config.py::test_default_llm_is_under_8b; test_compose_file.py::test_default_stack_is_cpu_and_local; README: CPU Docker yığınında uçtan uca soru 12–57 s.</t>
  </si>
  <si>
    <t>NFR-HW2</t>
  </si>
  <si>
    <t>Cihaz ayarı 'auto' iken, sistem modelleri uyumlu bir GPU varsa GPU'da, yoksa CPU'da çalıştırmalıdır.</t>
  </si>
  <si>
    <t>TUBITAK_RAG_DEVICE=auto|cpu|cuda ayarı ezer; 'cuda' seçilip GPU yoksa yapılandırma hatası verilir.</t>
  </si>
  <si>
    <t>device_policy.py; test_device_policy.py::test_choose_device, ::test_apply_policy_on_cpu_only_machine, ::test_cuda_without_gpu_is_a_config_error.</t>
  </si>
  <si>
    <t>NFR-PERF1</t>
  </si>
  <si>
    <t>Sistem, varsayılan CPU modunda tek bir soru için arama ve yeniden sıralamayı 5 saniyenin altında tamamlamalıdır.</t>
  </si>
  <si>
    <t>CPU'da yeniden sıralanacak aday sayısı yapılandırılabilir bir üst sınırla kısıtlanır.</t>
  </si>
  <si>
    <t>device_policy.py (cpu_max_candidates: 6); test_device_policy.py::test_plan_caps_candidates_on_cpu; README: Docker CPU'da 6 adayla 4,7 s.</t>
  </si>
  <si>
    <t>NFR-MOD2</t>
  </si>
  <si>
    <t>Sistem, yeni bir embedding, reranker, dil modeli veya vektör veritabanı uygulamasının tek bir dosya ve tek bir kayıt satırıyla eklenmesine izin vermelidir.</t>
  </si>
  <si>
    <t>Bileşenler ports/ altındaki arayüzlerle kullanılır; docs/mimari.md 'yeni reranker ekleme' örneğini içerir.</t>
  </si>
  <si>
    <t>ports/; factory.py; test_factory.py::test_registering_new_component_is_one_line; test_protocols.py; docs/mimari.md §6.</t>
  </si>
  <si>
    <t>NFR-MOD3</t>
  </si>
  <si>
    <t>Çekirdek paket, hiçbir web çatısını (FastAPI, Gradio) içe aktarmamalıdır.</t>
  </si>
  <si>
    <t>interfaces/ dışındaki modüllerde fastapi/gradio import'u yoktur; web ve Gradio arayüzleri aynı çekirdeği kullanır.</t>
  </si>
  <si>
    <t>test_architecture.py::test_core_does_not_import_web_frameworks, ::test_heavy_libs_only_in_adapters_and_lazily.</t>
  </si>
  <si>
    <t>NFR-TEST1</t>
  </si>
  <si>
    <t>Proje deposu, her kaynak modülü için bir birim testi modülü içermelidir.</t>
  </si>
  <si>
    <t>tests/unit/ yapısı src/ yapısını aynalar (testle denetlenir).</t>
  </si>
  <si>
    <t>test_architecture.py::test_unit_tests_mirror_src; pytest tests/unit 2026-10-21: 1520 geçti, 12 bilinen açık strict xfail (test_question_grounding_security.py).</t>
  </si>
  <si>
    <t>NFR-TEST2</t>
  </si>
  <si>
    <t>Birim testleri, harici servis, model indirmesi veya API anahtarı gerektirmeden çalışmalıdır.</t>
  </si>
  <si>
    <t>Servisler kapalıyken ve torch kurulu değilken `pytest tests/unit` geçer.</t>
  </si>
  <si>
    <t>tests/fakes/; pyproject.toml addopts "-m 'not integration'"; test_architecture.py::test_heavy_libs_only_in_adapters_and_lazily; tam birim test süresi ~60 s (2026-10-21).</t>
  </si>
  <si>
    <t>NFR-TEST3</t>
  </si>
  <si>
    <t>Çekirdek paketin birim testi satır kapsamı en az %80 olmalıdır.</t>
  </si>
  <si>
    <t>pytest-cov raporu ≥ %80.</t>
  </si>
  <si>
    <t>pytest tests/unit --cov=tubitak_rag 2026-10-21: %98 (6.843 ifade, 129 kapsanmayan).</t>
  </si>
  <si>
    <t>NFR-PRIV1</t>
  </si>
  <si>
    <t>Sistem, varsayılan yapılandırmada soruları ve belgeleri hiçbir harici servise göndermemelidir.</t>
  </si>
  <si>
    <t>Varsayılan cevap modeli ve hakem yerel Ollama'dır; harici API yalnız açıkça seçilince kullanılır (model indirme hariç).</t>
  </si>
  <si>
    <t>configs/default.yaml (llm.provider, eval.judge.provider: ollama); test_factory.py::test_default_llm_is_local_and_small; test_compose_file.py::test_default_stack_is_cpu_and_local.</t>
  </si>
  <si>
    <t>NFR-SEC1</t>
  </si>
  <si>
    <t>Web arayüzü, kullanıcı girdisini ve kaynak metinlerini HTML olarak yorumlamadan göstermelidir.</t>
  </si>
  <si>
    <t>Soru ve kaynak metnindeki HTML etiketleri kaçışlanır.</t>
  </si>
  <si>
    <t>test_pages.py::test_user_text_is_escaped.</t>
  </si>
  <si>
    <t>NFR-CONF1</t>
  </si>
  <si>
    <t>Yapılandırma dosyası geçersiz olduğu durumunda, sistem çalışmaya başlamadan anlaşılır bir hata mesajıyla durmalıdır.</t>
  </si>
  <si>
    <t>Bilinmeyen alan, yanlış tip veya geçersiz seçenek hatalı alanın adıyla raporlanır; komut 2 koduyla biter.</t>
  </si>
  <si>
    <t>test_config.py::test_unknown_field_raises_config_error, ::test_invalid_literal_raises_config_error; test_cli.py::test_invalid_config_field_exits_with_code_2.</t>
  </si>
  <si>
    <t>NFR-CONF2</t>
  </si>
  <si>
    <t>Sistem, gizli anahtarları yalnızca ortam değişkenlerinden veya .env dosyasından okumalıdır.</t>
  </si>
  <si>
    <t>Depoda anahtar bulunmaz; .env gitignore içindedir; .env.example yalnız yorum satırı örnek içerir.</t>
  </si>
  <si>
    <t>.gitignore (.env); .env.example; test_config.py::test_dotenv_is_loaded_without_overriding_env.</t>
  </si>
  <si>
    <t>NFR-LANG1</t>
  </si>
  <si>
    <t>Sistem, kullanıcı arayüzünü, hata mesajlarını, komut çıktılarını ve raporları Türkçe sunmalıdır.</t>
  </si>
  <si>
    <t>Arayüz metinleri, API hata gövdeleri, CLI çıktıları ve raporlar Türkçedir.</t>
  </si>
  <si>
    <t>test_prompts.py::test_fixed_messages_are_turkish; test_errors.py::test_validation_error_is_422_with_turkish_title_and_details; test_pipeline.py::test_every_refusal_reason_has_a_turkish_label; docs/sample-reports/.</t>
  </si>
  <si>
    <t>NFR-LIC1</t>
  </si>
  <si>
    <t>Proje deposu, MIT lisans dosyasını ve kullanılan modellerin lisans listesini içermelidir.</t>
  </si>
  <si>
    <t>LICENSE ve README'de model lisans tablosu bulunur.</t>
  </si>
  <si>
    <t>LICENSE (MIT); README §Lisans; static/fonts/OFL.txt, static/htmx.LICENSE.txt.</t>
  </si>
  <si>
    <t>README'de EmbeddingGemma 2, bge-m3, bge-reranker-v2-m3 ve Qwen3 için lisans tablosu yok.</t>
  </si>
  <si>
    <t>Tip</t>
  </si>
  <si>
    <t>Kalıp</t>
  </si>
  <si>
    <t>Örnek</t>
  </si>
  <si>
    <t>&lt;Özne&gt;, &lt;nesne&gt; &lt;eylem&gt;-malıdır/-melidir.</t>
  </si>
  <si>
    <t>&lt;Olay&gt; -dığında/-diğinde, &lt;özne&gt; &lt;eylem&gt;-malıdır.</t>
  </si>
  <si>
    <t>&lt;Durum&gt; iken, &lt;özne&gt; &lt;eylem&gt;-malıdır.</t>
  </si>
  <si>
    <t>&lt;İstenmeyen durum&gt; durumunda, &lt;özne&gt; &lt;eylem&gt;-malıdır.</t>
  </si>
  <si>
    <t>&lt;Özellik&gt; etkinleştirildiğinde, &lt;özne&gt; &lt;eylem&gt;-malıdır.</t>
  </si>
  <si>
    <t>Kurallar</t>
  </si>
  <si>
    <t>• Her ihtiyaç tek bir yükümlülük içerir (tek '-malıdır/-melidir').</t>
  </si>
  <si>
    <t>• Özne açıkça yazılır: Sistem, Corpus, Test seti, Web arayüzü, REST API, Komut satırı arayüzü, Değerlendirme modülü, Cevap değerlendirmesi, Rapor üretici, Docker paketi, Barındırılan sürüm…</t>
  </si>
  <si>
    <t>• İhtiyaç aracı kullanan kişinin (soru soran, RAG öğrenen, aracı çalıştıran, katkıda bulunan) bakışıyla yazılır; geliştirme süreci ihtiyaç değildir.</t>
  </si>
  <si>
    <t>• İhtiyaç 'ne' yapılacağını söyler; 'nasıl' yapılacağı kabul kriterinde ve tasarımda yer alır.</t>
  </si>
  <si>
    <t>• Her ihtiyaç bir doğrulama yöntemiyle (Test, Gösterim, İnceleme, Analiz) ve somut bir kanıtla eşleşir.</t>
  </si>
  <si>
    <t>Terim</t>
  </si>
  <si>
    <t>Açıklama</t>
  </si>
  <si>
    <t>RAG</t>
  </si>
  <si>
    <t>Retrieval-Augmented Generation: dil modelinin cevabı, aranan belge parçalarına dayanarak üretmesi.</t>
  </si>
  <si>
    <t>Parça (chunk)</t>
  </si>
  <si>
    <t>Belgenin arama ve embedding için bölündüğü metin birimi.</t>
  </si>
  <si>
    <t>Embedding</t>
  </si>
  <si>
    <t>Metnin anlamını temsil eden sayısal vektör.</t>
  </si>
  <si>
    <t>Dense arama</t>
  </si>
  <si>
    <t>Sorgu ve parça vektörleri arasındaki benzerliğe dayalı anlamsal arama.</t>
  </si>
  <si>
    <t>BM25</t>
  </si>
  <si>
    <t>Kelime eşleşmesi ve kelime nadirliğine dayalı klasik (sparse) arama algoritması.</t>
  </si>
  <si>
    <t>Hibrit arama</t>
  </si>
  <si>
    <t>Dense ve BM25 sonuçlarının birleştirilmesi.</t>
  </si>
  <si>
    <t>RRF</t>
  </si>
  <si>
    <t>Reciprocal Rank Fusion: sıralamaları 1/(k+sıra) ile birleştiren yöntem (k=60).</t>
  </si>
  <si>
    <t>Yeniden sıralayıcı</t>
  </si>
  <si>
    <t>Aday parçaları soru ile birlikte okuyup yeniden puanlayan cross-encoder model.</t>
  </si>
  <si>
    <t>Guardrail</t>
  </si>
  <si>
    <t>Uydurma cevabı ve kapsam dışı kullanımı engelleyen güvenlik önlemi.</t>
  </si>
  <si>
    <t>Kanıt alıntısı</t>
  </si>
  <si>
    <t>Test setinde doğru cevabın geçtiği birebir metin parçası; arama isabetini ölçmek için kullanılır.</t>
  </si>
  <si>
    <t>Recall@k</t>
  </si>
  <si>
    <t>Doğru kanıtın ilk k sonuç içinde bulunduğu soruların oranı.</t>
  </si>
  <si>
    <t>MRR</t>
  </si>
  <si>
    <t>Mean Reciprocal Rank: doğru kanıtın ilk göründüğü sıranın tersinin ortalaması.</t>
  </si>
  <si>
    <t>Hakem modeli</t>
  </si>
  <si>
    <t>Cevabın beklenen cevapla uyumunu ve kaynağa sadakatini puanlayan dil modeli (LLM-as-judge).</t>
  </si>
  <si>
    <t>Sadakat</t>
  </si>
  <si>
    <t>Cevaptaki iddiaların atıf yapılan kaynaklarda gerçekten geçme oranı (faithfulness).</t>
  </si>
  <si>
    <t>Doğru ret / yanlış ret</t>
  </si>
  <si>
    <t>Reddedilmesi gereken soruyu reddetme oranı / cevaplanabilir bir soruyu gereksiz yere reddetme oranı.</t>
  </si>
  <si>
    <t>Hazır indeks paketi</t>
  </si>
  <si>
    <t>`rag export-index` çıktısı: koleksiyon anlık görüntüleri, BM25 indeksleri ve SHA-256 manifesti; ilk açılışta ingest yerine yüklenir.</t>
  </si>
  <si>
    <t>EARS</t>
  </si>
  <si>
    <t>Easy Approach to Requirements Syntax: ihtiyaç cümleleri için standart kalıp ailesi.</t>
  </si>
  <si>
    <t>Artımlı indeksleme</t>
  </si>
  <si>
    <t>Yalnızca yeni, değişen veya silinen belgelerin indekste güncellenmesi.</t>
  </si>
  <si>
    <t>Tarih</t>
  </si>
  <si>
    <t>Sürüm</t>
  </si>
  <si>
    <t>Yazan</t>
  </si>
  <si>
    <t>Değişiklik</t>
  </si>
  <si>
    <t>2026-10-15</t>
  </si>
  <si>
    <t>0.1</t>
  </si>
  <si>
    <t>Claude</t>
  </si>
  <si>
    <t>İlk taslak (Markdown tabloları).</t>
  </si>
  <si>
    <t>1.0</t>
  </si>
  <si>
    <t>İhtiyaçlar EARS kalıbına göre tek yükümlülüklü cümlelere dönüştürüldü; tek kaynak YAML + Excel takip matrisi.</t>
  </si>
  <si>
    <t>2026-10-19</t>
  </si>
  <si>
    <t>2.0</t>
  </si>
  <si>
    <t>İhtiyaçlar ürün ve kullanıcı bakışıyla yeniden yazıldı (109 → 94). Geliştirme sürecine ve yapay zekâ ajanının çalışma biçimine dair maddeler çıkarıldı; corpus kapsamı, test seti (cevaplanacak, reddedilecek, belirsiz ve sürüm soruları) ve arama ile cevap değerlendirmesi ayrı ihtiyaçlar olarak yazıldı; arayüz güncel ürüne (sohbet sayfası + Hakkında) göre güncellendi. Her ihtiyacın durumu ve kanıtı kod, testler ve ölçülen sonuçlarla doğrulandı.</t>
  </si>
  <si>
    <t>Kaldırılan süreç maddeleri: SR-1 (aşama başına geliştirme günlüğü), SR-2 (her aşamada inceleme ajanı), SR-3 (aşama başına commit), SR-4 (proje sonunda karşılama matrisi), FR-U5'in eski hâli (taste-skill kuralları, gerekçe günlükte; yerel varlıklar ihtiyacına dönüştü), NFR-LANG1'deki geliştirme günlüğü dili, NFR-LANG2 (İngilizce tanımlayıcılar), NFR-CLEAN3 (fabrika katmanı), NFR-TEST4 (entegrasyon işareti), FR-CLI1'deki eval-gen komutu (uygulanmadı; test seti elle yazıldı).</t>
  </si>
  <si>
    <t>Ürün değiştiği için kaldırılan/dönüşen: FR-U4 (Deneyler sayfası kaldırıldı; raporlar REST API ve docs/sample-reports üzerinden), FR-U3 (ingest düğmeli Belgeler sayfası → Hakkında sayfası), FR-U2 (kaynak paneli → sohbet akışı), FR-U6 (Streamlit sürümü 'Barındırılan sürüm' kategorisine taşındı), FR-C5 (kılavuzların başlık/paragraf bölünmesi; tasarım ayrıntısı, test_guide_parser.py ile korunuyor).</t>
  </si>
  <si>
    <t>Birleştirilen: FR-D2 → FR-D1/FR-D3; FR-P2 → FR-P3; FR-P7, FR-C3, FR-C4 → FR-C2; FR-P8, FR-C7, FR-G1, FR-G2 → FR-G3; FR-I1, FR-I3, FR-I4, FR-I6 → FR-I2; FR-I5 → FR-X9; FR-R2 → FR-R3; FR-RR2, FR-GR9 → FR-GR1; FR-E2 → FR-E13; FR-E8 → FR-X3; FR-E7 → FR-E7, FR-E17, FR-E18, FR-E19; FR-X2, FR-X10 → FR-X1; FR-X4…FR-X7 → FR-X3; NFR-REPRO2 → NFR-REPRO1; FR-A2 → FR-A1; FR-A3 → FR-A4; FR-U1 → FR-U5; NFR-DOCKER2, NFR-DOCKER3 → NFR-DOCKER1; NFR-HW3 → NFR-HW1; NFR-MOD1 → NFR-MOD2; NFR-CLEAN1, NFR-CLEAN2 → NFR-CI1.</t>
  </si>
  <si>
    <t>2026-10-21</t>
  </si>
  <si>
    <t>2.1</t>
  </si>
  <si>
    <t>Streamlit sürümü kaldırıldı: FR-U6 Kapsam dışı; FR-HF1 barındırılan Gradio + ZeroGPU Space'e göre yeniden yazıldı; NFR-MOD3'te Streamlit yerine Gradio. NFR-DOCKER5: hazır indeks paketi varsayılan olarak Hugging Face veri setinden indirilir.</t>
  </si>
  <si>
    <t>Yeni: FR-D6, FR-D7, FR-D8 (corpus kapsamı), FR-D10 (site erişim kuralları), FR-D12 (sürümler), FR-G6, FR-GR11, FR-E9, FR-E11, FR-E12, FR-E13, FR-E14 (test seti), FR-E17…FR-E21 (cevap metrikleri), FR-U7, FR-U8, FR-U11, FR-HF1, FR-A5, FR-CLI2, FR-CLI3, NFR-DOCKER4, NFR-DOCKER5, NFR-DOCKER6, NFR-SEC1.</t>
  </si>
  <si>
    <t>2.2</t>
  </si>
  <si>
    <t>Corpus ve veri edinimi kategorisi kaldırıldı (FR-D6, FR-D7, FR-D8, FR-D1, FR-D3, FR-D10, FR-D4, FR-D5, FR-D12). Ürün, belgelerin elde olduğu ve indekslendiği noktadan başlar; belgeleri bulmak ve indirmek ürün ihtiyacı değil, corpus hazırlığıdır (rehber §1). Ayrıştırma ve temizleme ihtiyaçları kalır.</t>
  </si>
  <si>
    <t>2.3</t>
  </si>
  <si>
    <t>Kaldırılan: NFR-REPRO1 (aynı girdilerle aynı arama metrikleri; ürün sahibi gerekli görmedi), FR-U6 (Streamlit sürümü; Streamlit artık yok, madde tamamen silindi), NFR-CI1 (CI hattı; projede kullanılan bir CI hattı yok, .github/workflows/ci.yml dosyası duruyor). Geliştirme planı (docs/plan.md, docs/plan/) depodan kaldırıldı.</t>
  </si>
  <si>
    <t>Barındırılan sürüm üç ihtiyaca bölündü: FR-HF1 (Gradio + ZeroGPU, Qwen3 4B, embedding ve reranker Space GPU'sunda), FR-HF2 (Qdrant ve Ollama olmadan hazır NumPy indeksi), FR-HF3 (web arayüzüyle aynı sohbet, yapılandırma seçici ve numaralı kaynaklar). FR-G4 iki ihtiyaca bölündü: FR-G4 (cevap modeli: Ollama ile yerel model veya OpenAI uyumlu API; ayrıca Anthropic ve transformers) ve FR-G7 (hakem modeli, cevap modelinden bağımsız ve isteğe bağlı).</t>
  </si>
  <si>
    <t>Test ihtiyaçları ayrıntılandırıldı. Test seti: FR-E1 tür dağılımını sayar; yeni FR-E16 (cevaplanmalı/reddedilmeli etiketi), FR-E22 (beklenen cevap), FR-E23 (beklenen belgeler), FR-E24 (beklenen sayılar); FR-E4 sentetik üretimi açıkça yazar. Arama testi: FR-E6 Recall@5/@10 ve MRR'ye daraltıldı; yeni FR-E26 (belge isabeti), FR-E27 (soru türüne göre), FR-E29 (kanıtın ilk sırası), FR-E30 (ilk sıra dağılımı). Cevap testi: FR-E7, FR-E17, FR-E18, FR-E19 Claude (Opus) incelemesine göre yeniden yazıldı; yeni FR-E31 (gereksiz retin aşaması), FR-E32 (uydurma cevaplar), FR-E33 (atıf kesinliği), FR-E34 (isteğe bağlı otomatik hakem).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</si>
</sst>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6"/>
      <color rgb="FF1F3A5F"/>
      <name val="Arial"/>
    </font>
    <font>
      <sz val="10"/>
      <color rgb="FF595959"/>
      <name val="Arial"/>
    </font>
    <font>
      <i/>
      <sz val="9"/>
      <color rgb="FF595959"/>
      <name val="Arial"/>
    </font>
    <font>
      <b/>
      <sz val="12"/>
      <color rgb="FF1F3A5F"/>
      <name val="Arial"/>
    </font>
    <font>
      <sz val="10"/>
      <color rgb="FF404040"/>
      <name val="Arial"/>
    </font>
    <font>
      <b/>
      <sz val="10"/>
      <color rgb="FF1F3A5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0" xfId="0" applyFont="1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0" borderId="0" xfId="0" applyFont="1"/>
    <xf numFmtId="0" fontId="3" fillId="0" borderId="0" xfId="0" applyFont="1"/>
  </cellXfs>
  <cellStyles count="1">
    <cellStyle name="Normal" xfId="0" builtinId="0"/>
  </cellStyles>
  <dxfs count="4"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showGridLines="0" tabSelected="1" workbookViewId="0"/>
  </sheetViews>
  <sheetFormatPr defaultRowHeight="15" x14ac:dyDescent="0.25"/>
  <cols>
    <col min="1" max="1" width="34" customWidth="1"/>
    <col min="2" max="8" width="13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3" spans="1:2" x14ac:dyDescent="0.25">
      <c r="A3" s="3" t="s">
        <v>2</v>
      </c>
    </row>
    <row r="5" spans="1:2" ht="15.75" x14ac:dyDescent="0.25">
      <c r="A5" s="4" t="s">
        <v>3</v>
      </c>
    </row>
    <row r="6" spans="1:2" x14ac:dyDescent="0.25">
      <c r="A6" s="5" t="s">
        <v>4</v>
      </c>
      <c r="B6" s="5" t="s">
        <v>5</v>
      </c>
    </row>
    <row r="7" spans="1:2" x14ac:dyDescent="0.25">
      <c r="A7" s="6" t="s">
        <v>6</v>
      </c>
      <c r="B7" s="7">
        <f>COUNTA(İhtiyaçlar!$A$2:$A$98)</f>
        <v>97</v>
      </c>
    </row>
    <row r="8" spans="1:2" x14ac:dyDescent="0.25">
      <c r="A8" s="6" t="s">
        <v>7</v>
      </c>
      <c r="B8" s="7">
        <f>COUNTIF(İhtiyaçlar!$H$2:$H$98,"Bekliyor")</f>
        <v>0</v>
      </c>
    </row>
    <row r="9" spans="1:2" x14ac:dyDescent="0.25">
      <c r="A9" s="6" t="s">
        <v>8</v>
      </c>
      <c r="B9" s="7">
        <f>COUNTIF(İhtiyaçlar!$H$2:$H$98,"Karşılandı")</f>
        <v>89</v>
      </c>
    </row>
    <row r="10" spans="1:2" x14ac:dyDescent="0.25">
      <c r="A10" s="6" t="s">
        <v>9</v>
      </c>
      <c r="B10" s="7">
        <f>COUNTIF(İhtiyaçlar!$H$2:$H$98,"Kısmi")</f>
        <v>6</v>
      </c>
    </row>
    <row r="11" spans="1:2" x14ac:dyDescent="0.25">
      <c r="A11" s="6" t="s">
        <v>10</v>
      </c>
      <c r="B11" s="7">
        <f>COUNTIF(İhtiyaçlar!$H$2:$H$98,"Karşılanmadı")</f>
        <v>2</v>
      </c>
    </row>
    <row r="12" spans="1:2" x14ac:dyDescent="0.25">
      <c r="A12" s="6" t="s">
        <v>11</v>
      </c>
      <c r="B12" s="7">
        <f>COUNTIF(İhtiyaçlar!$H$2:$H$98,"Kapsam dışı")</f>
        <v>0</v>
      </c>
    </row>
    <row r="13" spans="1:2" x14ac:dyDescent="0.25">
      <c r="A13" s="6" t="s">
        <v>12</v>
      </c>
      <c r="B13" s="8">
        <f>IFERROR(B9/(B7-B12),0)</f>
        <v>0.91752577319587625</v>
      </c>
    </row>
    <row r="14" spans="1:2" x14ac:dyDescent="0.25">
      <c r="A14" s="6" t="s">
        <v>13</v>
      </c>
      <c r="B14" s="8">
        <f>IFERROR(COUNTIFS(İhtiyaçlar!$F$2:$F$98,"Zorunlu",İhtiyaçlar!$H$2:$H$98,"Karşılandı")/COUNTIF(İhtiyaçlar!$F$2:$F$98,"Zorunlu"),0)</f>
        <v>0.95833333333333337</v>
      </c>
    </row>
    <row r="16" spans="1:2" ht="15.75" x14ac:dyDescent="0.25">
      <c r="A16" s="4" t="s">
        <v>14</v>
      </c>
    </row>
    <row r="17" spans="1:7" x14ac:dyDescent="0.25">
      <c r="A17" s="5" t="s">
        <v>15</v>
      </c>
      <c r="B17" s="5" t="s">
        <v>16</v>
      </c>
      <c r="C17" s="5" t="s">
        <v>8</v>
      </c>
      <c r="D17" s="5" t="s">
        <v>9</v>
      </c>
      <c r="E17" s="5" t="s">
        <v>10</v>
      </c>
      <c r="F17" s="5" t="s">
        <v>11</v>
      </c>
      <c r="G17" s="5" t="s">
        <v>7</v>
      </c>
    </row>
    <row r="18" spans="1:7" x14ac:dyDescent="0.25">
      <c r="A18" s="6" t="s">
        <v>17</v>
      </c>
      <c r="B18" s="9">
        <f>COUNTIF(İhtiyaçlar!$B$2:$B$98,A18)</f>
        <v>7</v>
      </c>
      <c r="C18" s="9">
        <f>COUNTIFS(İhtiyaçlar!$B$2:$B$98,$A18,İhtiyaçlar!$H$2:$H$98,"Karşılandı")</f>
        <v>6</v>
      </c>
      <c r="D18" s="9">
        <f>COUNTIFS(İhtiyaçlar!$B$2:$B$98,$A18,İhtiyaçlar!$H$2:$H$98,"Kısmi")</f>
        <v>1</v>
      </c>
      <c r="E18" s="9">
        <f>COUNTIFS(İhtiyaçlar!$B$2:$B$98,$A18,İhtiyaçlar!$H$2:$H$98,"Karşılanmadı")</f>
        <v>0</v>
      </c>
      <c r="F18" s="9">
        <f>COUNTIFS(İhtiyaçlar!$B$2:$B$98,$A18,İhtiyaçlar!$H$2:$H$98,"Kapsam dışı")</f>
        <v>0</v>
      </c>
      <c r="G18" s="9">
        <f>COUNTIFS(İhtiyaçlar!$B$2:$B$98,$A18,İhtiyaçlar!$H$2:$H$98,"Bekliyor")</f>
        <v>0</v>
      </c>
    </row>
    <row r="19" spans="1:7" x14ac:dyDescent="0.25">
      <c r="A19" s="6" t="s">
        <v>18</v>
      </c>
      <c r="B19" s="9">
        <f>COUNTIF(İhtiyaçlar!$B$2:$B$98,A19)</f>
        <v>3</v>
      </c>
      <c r="C19" s="9">
        <f>COUNTIFS(İhtiyaçlar!$B$2:$B$98,$A19,İhtiyaçlar!$H$2:$H$98,"Karşılandı")</f>
        <v>3</v>
      </c>
      <c r="D19" s="9">
        <f>COUNTIFS(İhtiyaçlar!$B$2:$B$98,$A19,İhtiyaçlar!$H$2:$H$98,"Kısmi")</f>
        <v>0</v>
      </c>
      <c r="E19" s="9">
        <f>COUNTIFS(İhtiyaçlar!$B$2:$B$98,$A19,İhtiyaçlar!$H$2:$H$98,"Karşılanmadı")</f>
        <v>0</v>
      </c>
      <c r="F19" s="9">
        <f>COUNTIFS(İhtiyaçlar!$B$2:$B$98,$A19,İhtiyaçlar!$H$2:$H$98,"Kapsam dışı")</f>
        <v>0</v>
      </c>
      <c r="G19" s="9">
        <f>COUNTIFS(İhtiyaçlar!$B$2:$B$98,$A19,İhtiyaçlar!$H$2:$H$98,"Bekliyor")</f>
        <v>0</v>
      </c>
    </row>
    <row r="20" spans="1:7" x14ac:dyDescent="0.25">
      <c r="A20" s="6" t="s">
        <v>19</v>
      </c>
      <c r="B20" s="9">
        <f>COUNTIF(İhtiyaçlar!$B$2:$B$98,A20)</f>
        <v>2</v>
      </c>
      <c r="C20" s="9">
        <f>COUNTIFS(İhtiyaçlar!$B$2:$B$98,$A20,İhtiyaçlar!$H$2:$H$98,"Karşılandı")</f>
        <v>2</v>
      </c>
      <c r="D20" s="9">
        <f>COUNTIFS(İhtiyaçlar!$B$2:$B$98,$A20,İhtiyaçlar!$H$2:$H$98,"Kısmi")</f>
        <v>0</v>
      </c>
      <c r="E20" s="9">
        <f>COUNTIFS(İhtiyaçlar!$B$2:$B$98,$A20,İhtiyaçlar!$H$2:$H$98,"Karşılanmadı")</f>
        <v>0</v>
      </c>
      <c r="F20" s="9">
        <f>COUNTIFS(İhtiyaçlar!$B$2:$B$98,$A20,İhtiyaçlar!$H$2:$H$98,"Kapsam dışı")</f>
        <v>0</v>
      </c>
      <c r="G20" s="9">
        <f>COUNTIFS(İhtiyaçlar!$B$2:$B$98,$A20,İhtiyaçlar!$H$2:$H$98,"Bekliyor")</f>
        <v>0</v>
      </c>
    </row>
    <row r="21" spans="1:7" x14ac:dyDescent="0.25">
      <c r="A21" s="6" t="s">
        <v>20</v>
      </c>
      <c r="B21" s="9">
        <f>COUNTIF(İhtiyaçlar!$B$2:$B$98,A21)</f>
        <v>5</v>
      </c>
      <c r="C21" s="9">
        <f>COUNTIFS(İhtiyaçlar!$B$2:$B$98,$A21,İhtiyaçlar!$H$2:$H$98,"Karşılandı")</f>
        <v>5</v>
      </c>
      <c r="D21" s="9">
        <f>COUNTIFS(İhtiyaçlar!$B$2:$B$98,$A21,İhtiyaçlar!$H$2:$H$98,"Kısmi")</f>
        <v>0</v>
      </c>
      <c r="E21" s="9">
        <f>COUNTIFS(İhtiyaçlar!$B$2:$B$98,$A21,İhtiyaçlar!$H$2:$H$98,"Karşılanmadı")</f>
        <v>0</v>
      </c>
      <c r="F21" s="9">
        <f>COUNTIFS(İhtiyaçlar!$B$2:$B$98,$A21,İhtiyaçlar!$H$2:$H$98,"Kapsam dışı")</f>
        <v>0</v>
      </c>
      <c r="G21" s="9">
        <f>COUNTIFS(İhtiyaçlar!$B$2:$B$98,$A21,İhtiyaçlar!$H$2:$H$98,"Bekliyor")</f>
        <v>0</v>
      </c>
    </row>
    <row r="22" spans="1:7" x14ac:dyDescent="0.25">
      <c r="A22" s="6" t="s">
        <v>21</v>
      </c>
      <c r="B22" s="9">
        <f>COUNTIF(İhtiyaçlar!$B$2:$B$98,A22)</f>
        <v>5</v>
      </c>
      <c r="C22" s="9">
        <f>COUNTIFS(İhtiyaçlar!$B$2:$B$98,$A22,İhtiyaçlar!$H$2:$H$98,"Karşılandı")</f>
        <v>5</v>
      </c>
      <c r="D22" s="9">
        <f>COUNTIFS(İhtiyaçlar!$B$2:$B$98,$A22,İhtiyaçlar!$H$2:$H$98,"Kısmi")</f>
        <v>0</v>
      </c>
      <c r="E22" s="9">
        <f>COUNTIFS(İhtiyaçlar!$B$2:$B$98,$A22,İhtiyaçlar!$H$2:$H$98,"Karşılanmadı")</f>
        <v>0</v>
      </c>
      <c r="F22" s="9">
        <f>COUNTIFS(İhtiyaçlar!$B$2:$B$98,$A22,İhtiyaçlar!$H$2:$H$98,"Kapsam dışı")</f>
        <v>0</v>
      </c>
      <c r="G22" s="9">
        <f>COUNTIFS(İhtiyaçlar!$B$2:$B$98,$A22,İhtiyaçlar!$H$2:$H$98,"Bekliyor")</f>
        <v>0</v>
      </c>
    </row>
    <row r="23" spans="1:7" x14ac:dyDescent="0.25">
      <c r="A23" s="6" t="s">
        <v>22</v>
      </c>
      <c r="B23" s="9">
        <f>COUNTIF(İhtiyaçlar!$B$2:$B$98,A23)</f>
        <v>9</v>
      </c>
      <c r="C23" s="9">
        <f>COUNTIFS(İhtiyaçlar!$B$2:$B$98,$A23,İhtiyaçlar!$H$2:$H$98,"Karşılandı")</f>
        <v>6</v>
      </c>
      <c r="D23" s="9">
        <f>COUNTIFS(İhtiyaçlar!$B$2:$B$98,$A23,İhtiyaçlar!$H$2:$H$98,"Kısmi")</f>
        <v>2</v>
      </c>
      <c r="E23" s="9">
        <f>COUNTIFS(İhtiyaçlar!$B$2:$B$98,$A23,İhtiyaçlar!$H$2:$H$98,"Karşılanmadı")</f>
        <v>1</v>
      </c>
      <c r="F23" s="9">
        <f>COUNTIFS(İhtiyaçlar!$B$2:$B$98,$A23,İhtiyaçlar!$H$2:$H$98,"Kapsam dışı")</f>
        <v>0</v>
      </c>
      <c r="G23" s="9">
        <f>COUNTIFS(İhtiyaçlar!$B$2:$B$98,$A23,İhtiyaçlar!$H$2:$H$98,"Bekliyor")</f>
        <v>0</v>
      </c>
    </row>
    <row r="24" spans="1:7" x14ac:dyDescent="0.25">
      <c r="A24" s="6" t="s">
        <v>23</v>
      </c>
      <c r="B24" s="9">
        <f>COUNTIF(İhtiyaçlar!$B$2:$B$98,A24)</f>
        <v>12</v>
      </c>
      <c r="C24" s="9">
        <f>COUNTIFS(İhtiyaçlar!$B$2:$B$98,$A24,İhtiyaçlar!$H$2:$H$98,"Karşılandı")</f>
        <v>11</v>
      </c>
      <c r="D24" s="9">
        <f>COUNTIFS(İhtiyaçlar!$B$2:$B$98,$A24,İhtiyaçlar!$H$2:$H$98,"Kısmi")</f>
        <v>0</v>
      </c>
      <c r="E24" s="9">
        <f>COUNTIFS(İhtiyaçlar!$B$2:$B$98,$A24,İhtiyaçlar!$H$2:$H$98,"Karşılanmadı")</f>
        <v>1</v>
      </c>
      <c r="F24" s="9">
        <f>COUNTIFS(İhtiyaçlar!$B$2:$B$98,$A24,İhtiyaçlar!$H$2:$H$98,"Kapsam dışı")</f>
        <v>0</v>
      </c>
      <c r="G24" s="9">
        <f>COUNTIFS(İhtiyaçlar!$B$2:$B$98,$A24,İhtiyaçlar!$H$2:$H$98,"Bekliyor")</f>
        <v>0</v>
      </c>
    </row>
    <row r="25" spans="1:7" x14ac:dyDescent="0.25">
      <c r="A25" s="6" t="s">
        <v>24</v>
      </c>
      <c r="B25" s="9">
        <f>COUNTIF(İhtiyaçlar!$B$2:$B$98,A25)</f>
        <v>6</v>
      </c>
      <c r="C25" s="9">
        <f>COUNTIFS(İhtiyaçlar!$B$2:$B$98,$A25,İhtiyaçlar!$H$2:$H$98,"Karşılandı")</f>
        <v>5</v>
      </c>
      <c r="D25" s="9">
        <f>COUNTIFS(İhtiyaçlar!$B$2:$B$98,$A25,İhtiyaçlar!$H$2:$H$98,"Kısmi")</f>
        <v>1</v>
      </c>
      <c r="E25" s="9">
        <f>COUNTIFS(İhtiyaçlar!$B$2:$B$98,$A25,İhtiyaçlar!$H$2:$H$98,"Karşılanmadı")</f>
        <v>0</v>
      </c>
      <c r="F25" s="9">
        <f>COUNTIFS(İhtiyaçlar!$B$2:$B$98,$A25,İhtiyaçlar!$H$2:$H$98,"Kapsam dışı")</f>
        <v>0</v>
      </c>
      <c r="G25" s="9">
        <f>COUNTIFS(İhtiyaçlar!$B$2:$B$98,$A25,İhtiyaçlar!$H$2:$H$98,"Bekliyor")</f>
        <v>0</v>
      </c>
    </row>
    <row r="26" spans="1:7" x14ac:dyDescent="0.25">
      <c r="A26" s="6" t="s">
        <v>25</v>
      </c>
      <c r="B26" s="9">
        <f>COUNTIF(İhtiyaçlar!$B$2:$B$98,A26)</f>
        <v>11</v>
      </c>
      <c r="C26" s="9">
        <f>COUNTIFS(İhtiyaçlar!$B$2:$B$98,$A26,İhtiyaçlar!$H$2:$H$98,"Karşılandı")</f>
        <v>10</v>
      </c>
      <c r="D26" s="9">
        <f>COUNTIFS(İhtiyaçlar!$B$2:$B$98,$A26,İhtiyaçlar!$H$2:$H$98,"Kısmi")</f>
        <v>1</v>
      </c>
      <c r="E26" s="9">
        <f>COUNTIFS(İhtiyaçlar!$B$2:$B$98,$A26,İhtiyaçlar!$H$2:$H$98,"Karşılanmadı")</f>
        <v>0</v>
      </c>
      <c r="F26" s="9">
        <f>COUNTIFS(İhtiyaçlar!$B$2:$B$98,$A26,İhtiyaçlar!$H$2:$H$98,"Kapsam dışı")</f>
        <v>0</v>
      </c>
      <c r="G26" s="9">
        <f>COUNTIFS(İhtiyaçlar!$B$2:$B$98,$A26,İhtiyaçlar!$H$2:$H$98,"Bekliyor")</f>
        <v>0</v>
      </c>
    </row>
    <row r="27" spans="1:7" x14ac:dyDescent="0.25">
      <c r="A27" s="6" t="s">
        <v>26</v>
      </c>
      <c r="B27" s="9">
        <f>COUNTIF(İhtiyaçlar!$B$2:$B$98,A27)</f>
        <v>4</v>
      </c>
      <c r="C27" s="9">
        <f>COUNTIFS(İhtiyaçlar!$B$2:$B$98,$A27,İhtiyaçlar!$H$2:$H$98,"Karşılandı")</f>
        <v>4</v>
      </c>
      <c r="D27" s="9">
        <f>COUNTIFS(İhtiyaçlar!$B$2:$B$98,$A27,İhtiyaçlar!$H$2:$H$98,"Kısmi")</f>
        <v>0</v>
      </c>
      <c r="E27" s="9">
        <f>COUNTIFS(İhtiyaçlar!$B$2:$B$98,$A27,İhtiyaçlar!$H$2:$H$98,"Karşılanmadı")</f>
        <v>0</v>
      </c>
      <c r="F27" s="9">
        <f>COUNTIFS(İhtiyaçlar!$B$2:$B$98,$A27,İhtiyaçlar!$H$2:$H$98,"Kapsam dışı")</f>
        <v>0</v>
      </c>
      <c r="G27" s="9">
        <f>COUNTIFS(İhtiyaçlar!$B$2:$B$98,$A27,İhtiyaçlar!$H$2:$H$98,"Bekliyor")</f>
        <v>0</v>
      </c>
    </row>
    <row r="28" spans="1:7" x14ac:dyDescent="0.25">
      <c r="A28" s="6" t="s">
        <v>27</v>
      </c>
      <c r="B28" s="9">
        <f>COUNTIF(İhtiyaçlar!$B$2:$B$98,A28)</f>
        <v>6</v>
      </c>
      <c r="C28" s="9">
        <f>COUNTIFS(İhtiyaçlar!$B$2:$B$98,$A28,İhtiyaçlar!$H$2:$H$98,"Karşılandı")</f>
        <v>6</v>
      </c>
      <c r="D28" s="9">
        <f>COUNTIFS(İhtiyaçlar!$B$2:$B$98,$A28,İhtiyaçlar!$H$2:$H$98,"Kısmi")</f>
        <v>0</v>
      </c>
      <c r="E28" s="9">
        <f>COUNTIFS(İhtiyaçlar!$B$2:$B$98,$A28,İhtiyaçlar!$H$2:$H$98,"Karşılanmadı")</f>
        <v>0</v>
      </c>
      <c r="F28" s="9">
        <f>COUNTIFS(İhtiyaçlar!$B$2:$B$98,$A28,İhtiyaçlar!$H$2:$H$98,"Kapsam dışı")</f>
        <v>0</v>
      </c>
      <c r="G28" s="9">
        <f>COUNTIFS(İhtiyaçlar!$B$2:$B$98,$A28,İhtiyaçlar!$H$2:$H$98,"Bekliyor")</f>
        <v>0</v>
      </c>
    </row>
    <row r="29" spans="1:7" x14ac:dyDescent="0.25">
      <c r="A29" s="6" t="s">
        <v>28</v>
      </c>
      <c r="B29" s="9">
        <f>COUNTIF(İhtiyaçlar!$B$2:$B$98,A29)</f>
        <v>3</v>
      </c>
      <c r="C29" s="9">
        <f>COUNTIFS(İhtiyaçlar!$B$2:$B$98,$A29,İhtiyaçlar!$H$2:$H$98,"Karşılandı")</f>
        <v>3</v>
      </c>
      <c r="D29" s="9">
        <f>COUNTIFS(İhtiyaçlar!$B$2:$B$98,$A29,İhtiyaçlar!$H$2:$H$98,"Kısmi")</f>
        <v>0</v>
      </c>
      <c r="E29" s="9">
        <f>COUNTIFS(İhtiyaçlar!$B$2:$B$98,$A29,İhtiyaçlar!$H$2:$H$98,"Karşılanmadı")</f>
        <v>0</v>
      </c>
      <c r="F29" s="9">
        <f>COUNTIFS(İhtiyaçlar!$B$2:$B$98,$A29,İhtiyaçlar!$H$2:$H$98,"Kapsam dışı")</f>
        <v>0</v>
      </c>
      <c r="G29" s="9">
        <f>COUNTIFS(İhtiyaçlar!$B$2:$B$98,$A29,İhtiyaçlar!$H$2:$H$98,"Bekliyor")</f>
        <v>0</v>
      </c>
    </row>
    <row r="30" spans="1:7" x14ac:dyDescent="0.25">
      <c r="A30" s="6" t="s">
        <v>29</v>
      </c>
      <c r="B30" s="9">
        <f>COUNTIF(İhtiyaçlar!$B$2:$B$98,A30)</f>
        <v>3</v>
      </c>
      <c r="C30" s="9">
        <f>COUNTIFS(İhtiyaçlar!$B$2:$B$98,$A30,İhtiyaçlar!$H$2:$H$98,"Karşılandı")</f>
        <v>3</v>
      </c>
      <c r="D30" s="9">
        <f>COUNTIFS(İhtiyaçlar!$B$2:$B$98,$A30,İhtiyaçlar!$H$2:$H$98,"Kısmi")</f>
        <v>0</v>
      </c>
      <c r="E30" s="9">
        <f>COUNTIFS(İhtiyaçlar!$B$2:$B$98,$A30,İhtiyaçlar!$H$2:$H$98,"Karşılanmadı")</f>
        <v>0</v>
      </c>
      <c r="F30" s="9">
        <f>COUNTIFS(İhtiyaçlar!$B$2:$B$98,$A30,İhtiyaçlar!$H$2:$H$98,"Kapsam dışı")</f>
        <v>0</v>
      </c>
      <c r="G30" s="9">
        <f>COUNTIFS(İhtiyaçlar!$B$2:$B$98,$A30,İhtiyaçlar!$H$2:$H$98,"Bekliyor")</f>
        <v>0</v>
      </c>
    </row>
    <row r="31" spans="1:7" x14ac:dyDescent="0.25">
      <c r="A31" s="6" t="s">
        <v>30</v>
      </c>
      <c r="B31" s="9">
        <f>COUNTIF(İhtiyaçlar!$B$2:$B$98,A31)</f>
        <v>3</v>
      </c>
      <c r="C31" s="9">
        <f>COUNTIFS(İhtiyaçlar!$B$2:$B$98,$A31,İhtiyaçlar!$H$2:$H$98,"Karşılandı")</f>
        <v>3</v>
      </c>
      <c r="D31" s="9">
        <f>COUNTIFS(İhtiyaçlar!$B$2:$B$98,$A31,İhtiyaçlar!$H$2:$H$98,"Kısmi")</f>
        <v>0</v>
      </c>
      <c r="E31" s="9">
        <f>COUNTIFS(İhtiyaçlar!$B$2:$B$98,$A31,İhtiyaçlar!$H$2:$H$98,"Karşılanmadı")</f>
        <v>0</v>
      </c>
      <c r="F31" s="9">
        <f>COUNTIFS(İhtiyaçlar!$B$2:$B$98,$A31,İhtiyaçlar!$H$2:$H$98,"Kapsam dışı")</f>
        <v>0</v>
      </c>
      <c r="G31" s="9">
        <f>COUNTIFS(İhtiyaçlar!$B$2:$B$98,$A31,İhtiyaçlar!$H$2:$H$98,"Bekliyor")</f>
        <v>0</v>
      </c>
    </row>
    <row r="32" spans="1:7" x14ac:dyDescent="0.25">
      <c r="A32" s="6" t="s">
        <v>31</v>
      </c>
      <c r="B32" s="9">
        <f>COUNTIF(İhtiyaçlar!$B$2:$B$98,A32)</f>
        <v>7</v>
      </c>
      <c r="C32" s="9">
        <f>COUNTIFS(İhtiyaçlar!$B$2:$B$98,$A32,İhtiyaçlar!$H$2:$H$98,"Karşılandı")</f>
        <v>7</v>
      </c>
      <c r="D32" s="9">
        <f>COUNTIFS(İhtiyaçlar!$B$2:$B$98,$A32,İhtiyaçlar!$H$2:$H$98,"Kısmi")</f>
        <v>0</v>
      </c>
      <c r="E32" s="9">
        <f>COUNTIFS(İhtiyaçlar!$B$2:$B$98,$A32,İhtiyaçlar!$H$2:$H$98,"Karşılanmadı")</f>
        <v>0</v>
      </c>
      <c r="F32" s="9">
        <f>COUNTIFS(İhtiyaçlar!$B$2:$B$98,$A32,İhtiyaçlar!$H$2:$H$98,"Kapsam dışı")</f>
        <v>0</v>
      </c>
      <c r="G32" s="9">
        <f>COUNTIFS(İhtiyaçlar!$B$2:$B$98,$A32,İhtiyaçlar!$H$2:$H$98,"Bekliyor")</f>
        <v>0</v>
      </c>
    </row>
    <row r="33" spans="1:7" x14ac:dyDescent="0.25">
      <c r="A33" s="6" t="s">
        <v>32</v>
      </c>
      <c r="B33" s="9">
        <f>COUNTIF(İhtiyaçlar!$B$2:$B$98,A33)</f>
        <v>5</v>
      </c>
      <c r="C33" s="9">
        <f>COUNTIFS(İhtiyaçlar!$B$2:$B$98,$A33,İhtiyaçlar!$H$2:$H$98,"Karşılandı")</f>
        <v>5</v>
      </c>
      <c r="D33" s="9">
        <f>COUNTIFS(İhtiyaçlar!$B$2:$B$98,$A33,İhtiyaçlar!$H$2:$H$98,"Kısmi")</f>
        <v>0</v>
      </c>
      <c r="E33" s="9">
        <f>COUNTIFS(İhtiyaçlar!$B$2:$B$98,$A33,İhtiyaçlar!$H$2:$H$98,"Karşılanmadı")</f>
        <v>0</v>
      </c>
      <c r="F33" s="9">
        <f>COUNTIFS(İhtiyaçlar!$B$2:$B$98,$A33,İhtiyaçlar!$H$2:$H$98,"Kapsam dışı")</f>
        <v>0</v>
      </c>
      <c r="G33" s="9">
        <f>COUNTIFS(İhtiyaçlar!$B$2:$B$98,$A33,İhtiyaçlar!$H$2:$H$98,"Bekliyor")</f>
        <v>0</v>
      </c>
    </row>
    <row r="34" spans="1:7" x14ac:dyDescent="0.25">
      <c r="A34" s="6" t="s">
        <v>33</v>
      </c>
      <c r="B34" s="9">
        <f>COUNTIF(İhtiyaçlar!$B$2:$B$98,A34)</f>
        <v>6</v>
      </c>
      <c r="C34" s="9">
        <f>COUNTIFS(İhtiyaçlar!$B$2:$B$98,$A34,İhtiyaçlar!$H$2:$H$98,"Karşılandı")</f>
        <v>5</v>
      </c>
      <c r="D34" s="9">
        <f>COUNTIFS(İhtiyaçlar!$B$2:$B$98,$A34,İhtiyaçlar!$H$2:$H$98,"Kısmi")</f>
        <v>1</v>
      </c>
      <c r="E34" s="9">
        <f>COUNTIFS(İhtiyaçlar!$B$2:$B$98,$A34,İhtiyaçlar!$H$2:$H$98,"Karşılanmadı")</f>
        <v>0</v>
      </c>
      <c r="F34" s="9">
        <f>COUNTIFS(İhtiyaçlar!$B$2:$B$98,$A34,İhtiyaçlar!$H$2:$H$98,"Kapsam dışı")</f>
        <v>0</v>
      </c>
      <c r="G34" s="9">
        <f>COUNTIFS(İhtiyaçlar!$B$2:$B$98,$A34,İhtiyaçlar!$H$2:$H$98,"Bekliyor")</f>
        <v>0</v>
      </c>
    </row>
    <row r="35" spans="1:7" x14ac:dyDescent="0.25">
      <c r="A35" s="10" t="s">
        <v>16</v>
      </c>
      <c r="B35" s="7">
        <f t="shared" ref="B35:G35" si="0">SUM(B18:B34)</f>
        <v>97</v>
      </c>
      <c r="C35" s="7">
        <f t="shared" si="0"/>
        <v>89</v>
      </c>
      <c r="D35" s="7">
        <f t="shared" si="0"/>
        <v>6</v>
      </c>
      <c r="E35" s="7">
        <f t="shared" si="0"/>
        <v>2</v>
      </c>
      <c r="F35" s="7">
        <f t="shared" si="0"/>
        <v>0</v>
      </c>
      <c r="G35" s="7">
        <f t="shared" si="0"/>
        <v>0</v>
      </c>
    </row>
    <row r="37" spans="1:7" ht="15.75" x14ac:dyDescent="0.25">
      <c r="A37" s="4" t="s">
        <v>34</v>
      </c>
    </row>
    <row r="38" spans="1:7" x14ac:dyDescent="0.25">
      <c r="A38" s="11" t="s">
        <v>35</v>
      </c>
    </row>
    <row r="39" spans="1:7" x14ac:dyDescent="0.25">
      <c r="A39" s="11" t="s">
        <v>36</v>
      </c>
    </row>
    <row r="40" spans="1:7" x14ac:dyDescent="0.25">
      <c r="A40" s="11" t="s">
        <v>37</v>
      </c>
    </row>
    <row r="41" spans="1:7" x14ac:dyDescent="0.25">
      <c r="A41" s="11" t="s">
        <v>38</v>
      </c>
    </row>
    <row r="42" spans="1:7" x14ac:dyDescent="0.25">
      <c r="A42" s="1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22" customWidth="1"/>
    <col min="3" max="3" width="12" customWidth="1"/>
    <col min="4" max="4" width="70" customWidth="1"/>
    <col min="5" max="5" width="46" customWidth="1"/>
    <col min="6" max="6" width="11" customWidth="1"/>
    <col min="7" max="7" width="12" customWidth="1"/>
    <col min="8" max="8" width="14" customWidth="1"/>
    <col min="9" max="9" width="5" customWidth="1"/>
    <col min="10" max="10" width="40" customWidth="1"/>
    <col min="11" max="11" width="30" customWidth="1"/>
  </cols>
  <sheetData>
    <row r="1" spans="1:11" ht="27.95" customHeight="1" x14ac:dyDescent="0.25">
      <c r="A1" s="5" t="s">
        <v>40</v>
      </c>
      <c r="B1" s="5" t="s">
        <v>15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</row>
    <row r="2" spans="1:11" ht="102" x14ac:dyDescent="0.25">
      <c r="A2" s="12" t="s">
        <v>50</v>
      </c>
      <c r="B2" s="13" t="s">
        <v>17</v>
      </c>
      <c r="C2" s="14" t="s">
        <v>51</v>
      </c>
      <c r="D2" s="13" t="s">
        <v>52</v>
      </c>
      <c r="E2" s="13" t="s">
        <v>53</v>
      </c>
      <c r="F2" s="14" t="s">
        <v>54</v>
      </c>
      <c r="G2" s="14" t="s">
        <v>55</v>
      </c>
      <c r="H2" s="14" t="s">
        <v>8</v>
      </c>
      <c r="I2" s="14" t="str">
        <f t="shared" ref="I2:I33" si="0">IF(H2="Karşılandı","✔",IF(H2="Kısmi","◐",IF(H2="Karşılanmadı","✖","")))</f>
        <v>✔</v>
      </c>
      <c r="J2" s="13" t="s">
        <v>56</v>
      </c>
      <c r="K2" s="13"/>
    </row>
    <row r="3" spans="1:11" ht="76.5" x14ac:dyDescent="0.25">
      <c r="A3" s="12" t="s">
        <v>57</v>
      </c>
      <c r="B3" s="13" t="s">
        <v>17</v>
      </c>
      <c r="C3" s="14" t="s">
        <v>51</v>
      </c>
      <c r="D3" s="13" t="s">
        <v>58</v>
      </c>
      <c r="E3" s="13" t="s">
        <v>59</v>
      </c>
      <c r="F3" s="14" t="s">
        <v>54</v>
      </c>
      <c r="G3" s="14" t="s">
        <v>55</v>
      </c>
      <c r="H3" s="14" t="s">
        <v>8</v>
      </c>
      <c r="I3" s="14" t="str">
        <f t="shared" si="0"/>
        <v>✔</v>
      </c>
      <c r="J3" s="13" t="s">
        <v>60</v>
      </c>
      <c r="K3" s="13"/>
    </row>
    <row r="4" spans="1:11" ht="51" x14ac:dyDescent="0.25">
      <c r="A4" s="12" t="s">
        <v>61</v>
      </c>
      <c r="B4" s="13" t="s">
        <v>17</v>
      </c>
      <c r="C4" s="14" t="s">
        <v>51</v>
      </c>
      <c r="D4" s="13" t="s">
        <v>62</v>
      </c>
      <c r="E4" s="13" t="s">
        <v>63</v>
      </c>
      <c r="F4" s="14" t="s">
        <v>54</v>
      </c>
      <c r="G4" s="14" t="s">
        <v>55</v>
      </c>
      <c r="H4" s="14" t="s">
        <v>8</v>
      </c>
      <c r="I4" s="14" t="str">
        <f t="shared" si="0"/>
        <v>✔</v>
      </c>
      <c r="J4" s="13" t="s">
        <v>64</v>
      </c>
      <c r="K4" s="13"/>
    </row>
    <row r="5" spans="1:11" ht="76.5" x14ac:dyDescent="0.25">
      <c r="A5" s="12" t="s">
        <v>65</v>
      </c>
      <c r="B5" s="13" t="s">
        <v>17</v>
      </c>
      <c r="C5" s="14" t="s">
        <v>51</v>
      </c>
      <c r="D5" s="13" t="s">
        <v>66</v>
      </c>
      <c r="E5" s="13" t="s">
        <v>67</v>
      </c>
      <c r="F5" s="14" t="s">
        <v>68</v>
      </c>
      <c r="G5" s="14" t="s">
        <v>55</v>
      </c>
      <c r="H5" s="14" t="s">
        <v>8</v>
      </c>
      <c r="I5" s="14" t="str">
        <f t="shared" si="0"/>
        <v>✔</v>
      </c>
      <c r="J5" s="13" t="s">
        <v>69</v>
      </c>
      <c r="K5" s="13"/>
    </row>
    <row r="6" spans="1:11" ht="63.75" x14ac:dyDescent="0.25">
      <c r="A6" s="12" t="s">
        <v>70</v>
      </c>
      <c r="B6" s="13" t="s">
        <v>17</v>
      </c>
      <c r="C6" s="14" t="s">
        <v>51</v>
      </c>
      <c r="D6" s="13" t="s">
        <v>71</v>
      </c>
      <c r="E6" s="13" t="s">
        <v>72</v>
      </c>
      <c r="F6" s="14" t="s">
        <v>68</v>
      </c>
      <c r="G6" s="14" t="s">
        <v>55</v>
      </c>
      <c r="H6" s="14" t="s">
        <v>8</v>
      </c>
      <c r="I6" s="14" t="str">
        <f t="shared" si="0"/>
        <v>✔</v>
      </c>
      <c r="J6" s="13" t="s">
        <v>73</v>
      </c>
      <c r="K6" s="13"/>
    </row>
    <row r="7" spans="1:11" ht="38.25" x14ac:dyDescent="0.25">
      <c r="A7" s="12" t="s">
        <v>74</v>
      </c>
      <c r="B7" s="13" t="s">
        <v>17</v>
      </c>
      <c r="C7" s="14" t="s">
        <v>75</v>
      </c>
      <c r="D7" s="13" t="s">
        <v>76</v>
      </c>
      <c r="E7" s="13" t="s">
        <v>77</v>
      </c>
      <c r="F7" s="14" t="s">
        <v>68</v>
      </c>
      <c r="G7" s="14" t="s">
        <v>55</v>
      </c>
      <c r="H7" s="14" t="s">
        <v>8</v>
      </c>
      <c r="I7" s="14" t="str">
        <f t="shared" si="0"/>
        <v>✔</v>
      </c>
      <c r="J7" s="13" t="s">
        <v>78</v>
      </c>
      <c r="K7" s="13"/>
    </row>
    <row r="8" spans="1:11" ht="63.75" x14ac:dyDescent="0.25">
      <c r="A8" s="12" t="s">
        <v>79</v>
      </c>
      <c r="B8" s="13" t="s">
        <v>17</v>
      </c>
      <c r="C8" s="14" t="s">
        <v>51</v>
      </c>
      <c r="D8" s="13" t="s">
        <v>80</v>
      </c>
      <c r="E8" s="13" t="s">
        <v>81</v>
      </c>
      <c r="F8" s="14" t="s">
        <v>54</v>
      </c>
      <c r="G8" s="14" t="s">
        <v>55</v>
      </c>
      <c r="H8" s="14" t="s">
        <v>9</v>
      </c>
      <c r="I8" s="14" t="str">
        <f t="shared" si="0"/>
        <v>◐</v>
      </c>
      <c r="J8" s="13" t="s">
        <v>82</v>
      </c>
      <c r="K8" s="13" t="s">
        <v>83</v>
      </c>
    </row>
    <row r="9" spans="1:11" ht="63.75" x14ac:dyDescent="0.25">
      <c r="A9" s="12" t="s">
        <v>84</v>
      </c>
      <c r="B9" s="13" t="s">
        <v>18</v>
      </c>
      <c r="C9" s="14" t="s">
        <v>51</v>
      </c>
      <c r="D9" s="13" t="s">
        <v>85</v>
      </c>
      <c r="E9" s="13" t="s">
        <v>86</v>
      </c>
      <c r="F9" s="14" t="s">
        <v>54</v>
      </c>
      <c r="G9" s="14" t="s">
        <v>55</v>
      </c>
      <c r="H9" s="14" t="s">
        <v>8</v>
      </c>
      <c r="I9" s="14" t="str">
        <f t="shared" si="0"/>
        <v>✔</v>
      </c>
      <c r="J9" s="13" t="s">
        <v>87</v>
      </c>
      <c r="K9" s="13"/>
    </row>
    <row r="10" spans="1:11" ht="89.25" x14ac:dyDescent="0.25">
      <c r="A10" s="12" t="s">
        <v>88</v>
      </c>
      <c r="B10" s="13" t="s">
        <v>18</v>
      </c>
      <c r="C10" s="14" t="s">
        <v>89</v>
      </c>
      <c r="D10" s="13" t="s">
        <v>90</v>
      </c>
      <c r="E10" s="13" t="s">
        <v>91</v>
      </c>
      <c r="F10" s="14" t="s">
        <v>54</v>
      </c>
      <c r="G10" s="14" t="s">
        <v>55</v>
      </c>
      <c r="H10" s="14" t="s">
        <v>8</v>
      </c>
      <c r="I10" s="14" t="str">
        <f t="shared" si="0"/>
        <v>✔</v>
      </c>
      <c r="J10" s="13" t="s">
        <v>92</v>
      </c>
      <c r="K10" s="13"/>
    </row>
    <row r="11" spans="1:11" ht="76.5" x14ac:dyDescent="0.25">
      <c r="A11" s="12" t="s">
        <v>93</v>
      </c>
      <c r="B11" s="13" t="s">
        <v>18</v>
      </c>
      <c r="C11" s="14" t="s">
        <v>89</v>
      </c>
      <c r="D11" s="13" t="s">
        <v>94</v>
      </c>
      <c r="E11" s="13" t="s">
        <v>95</v>
      </c>
      <c r="F11" s="14" t="s">
        <v>54</v>
      </c>
      <c r="G11" s="14" t="s">
        <v>55</v>
      </c>
      <c r="H11" s="14" t="s">
        <v>8</v>
      </c>
      <c r="I11" s="14" t="str">
        <f t="shared" si="0"/>
        <v>✔</v>
      </c>
      <c r="J11" s="13" t="s">
        <v>96</v>
      </c>
      <c r="K11" s="13"/>
    </row>
    <row r="12" spans="1:11" ht="89.25" x14ac:dyDescent="0.25">
      <c r="A12" s="12" t="s">
        <v>97</v>
      </c>
      <c r="B12" s="13" t="s">
        <v>19</v>
      </c>
      <c r="C12" s="14" t="s">
        <v>98</v>
      </c>
      <c r="D12" s="13" t="s">
        <v>99</v>
      </c>
      <c r="E12" s="13" t="s">
        <v>100</v>
      </c>
      <c r="F12" s="14" t="s">
        <v>54</v>
      </c>
      <c r="G12" s="14" t="s">
        <v>55</v>
      </c>
      <c r="H12" s="14" t="s">
        <v>8</v>
      </c>
      <c r="I12" s="14" t="str">
        <f t="shared" si="0"/>
        <v>✔</v>
      </c>
      <c r="J12" s="13" t="s">
        <v>101</v>
      </c>
      <c r="K12" s="13"/>
    </row>
    <row r="13" spans="1:11" ht="89.25" x14ac:dyDescent="0.25">
      <c r="A13" s="12" t="s">
        <v>102</v>
      </c>
      <c r="B13" s="13" t="s">
        <v>19</v>
      </c>
      <c r="C13" s="14" t="s">
        <v>46</v>
      </c>
      <c r="D13" s="13" t="s">
        <v>103</v>
      </c>
      <c r="E13" s="13" t="s">
        <v>104</v>
      </c>
      <c r="F13" s="14" t="s">
        <v>54</v>
      </c>
      <c r="G13" s="14" t="s">
        <v>55</v>
      </c>
      <c r="H13" s="14" t="s">
        <v>8</v>
      </c>
      <c r="I13" s="14" t="str">
        <f t="shared" si="0"/>
        <v>✔</v>
      </c>
      <c r="J13" s="13" t="s">
        <v>105</v>
      </c>
      <c r="K13" s="13"/>
    </row>
    <row r="14" spans="1:11" ht="51" x14ac:dyDescent="0.25">
      <c r="A14" s="12" t="s">
        <v>106</v>
      </c>
      <c r="B14" s="13" t="s">
        <v>20</v>
      </c>
      <c r="C14" s="14" t="s">
        <v>51</v>
      </c>
      <c r="D14" s="13" t="s">
        <v>107</v>
      </c>
      <c r="E14" s="13" t="s">
        <v>108</v>
      </c>
      <c r="F14" s="14" t="s">
        <v>54</v>
      </c>
      <c r="G14" s="14" t="s">
        <v>55</v>
      </c>
      <c r="H14" s="14" t="s">
        <v>8</v>
      </c>
      <c r="I14" s="14" t="str">
        <f t="shared" si="0"/>
        <v>✔</v>
      </c>
      <c r="J14" s="13" t="s">
        <v>109</v>
      </c>
      <c r="K14" s="13"/>
    </row>
    <row r="15" spans="1:11" ht="63.75" x14ac:dyDescent="0.25">
      <c r="A15" s="12" t="s">
        <v>110</v>
      </c>
      <c r="B15" s="13" t="s">
        <v>20</v>
      </c>
      <c r="C15" s="14" t="s">
        <v>89</v>
      </c>
      <c r="D15" s="13" t="s">
        <v>111</v>
      </c>
      <c r="E15" s="13" t="s">
        <v>112</v>
      </c>
      <c r="F15" s="14" t="s">
        <v>68</v>
      </c>
      <c r="G15" s="14" t="s">
        <v>55</v>
      </c>
      <c r="H15" s="14" t="s">
        <v>8</v>
      </c>
      <c r="I15" s="14" t="str">
        <f t="shared" si="0"/>
        <v>✔</v>
      </c>
      <c r="J15" s="13" t="s">
        <v>113</v>
      </c>
      <c r="K15" s="13"/>
    </row>
    <row r="16" spans="1:11" ht="51" x14ac:dyDescent="0.25">
      <c r="A16" s="12" t="s">
        <v>114</v>
      </c>
      <c r="B16" s="13" t="s">
        <v>20</v>
      </c>
      <c r="C16" s="14" t="s">
        <v>89</v>
      </c>
      <c r="D16" s="13" t="s">
        <v>115</v>
      </c>
      <c r="E16" s="13" t="s">
        <v>116</v>
      </c>
      <c r="F16" s="14" t="s">
        <v>54</v>
      </c>
      <c r="G16" s="14" t="s">
        <v>55</v>
      </c>
      <c r="H16" s="14" t="s">
        <v>8</v>
      </c>
      <c r="I16" s="14" t="str">
        <f t="shared" si="0"/>
        <v>✔</v>
      </c>
      <c r="J16" s="13" t="s">
        <v>117</v>
      </c>
      <c r="K16" s="13"/>
    </row>
    <row r="17" spans="1:11" ht="76.5" x14ac:dyDescent="0.25">
      <c r="A17" s="12" t="s">
        <v>118</v>
      </c>
      <c r="B17" s="13" t="s">
        <v>20</v>
      </c>
      <c r="C17" s="14" t="s">
        <v>89</v>
      </c>
      <c r="D17" s="13" t="s">
        <v>119</v>
      </c>
      <c r="E17" s="13" t="s">
        <v>120</v>
      </c>
      <c r="F17" s="14" t="s">
        <v>68</v>
      </c>
      <c r="G17" s="14" t="s">
        <v>55</v>
      </c>
      <c r="H17" s="14" t="s">
        <v>8</v>
      </c>
      <c r="I17" s="14" t="str">
        <f t="shared" si="0"/>
        <v>✔</v>
      </c>
      <c r="J17" s="13" t="s">
        <v>121</v>
      </c>
      <c r="K17" s="13" t="s">
        <v>122</v>
      </c>
    </row>
    <row r="18" spans="1:11" ht="76.5" x14ac:dyDescent="0.25">
      <c r="A18" s="12" t="s">
        <v>123</v>
      </c>
      <c r="B18" s="13" t="s">
        <v>20</v>
      </c>
      <c r="C18" s="14" t="s">
        <v>89</v>
      </c>
      <c r="D18" s="13" t="s">
        <v>124</v>
      </c>
      <c r="E18" s="13" t="s">
        <v>125</v>
      </c>
      <c r="F18" s="14" t="s">
        <v>54</v>
      </c>
      <c r="G18" s="14" t="s">
        <v>55</v>
      </c>
      <c r="H18" s="14" t="s">
        <v>8</v>
      </c>
      <c r="I18" s="14" t="str">
        <f t="shared" si="0"/>
        <v>✔</v>
      </c>
      <c r="J18" s="13" t="s">
        <v>126</v>
      </c>
      <c r="K18" s="13"/>
    </row>
    <row r="19" spans="1:11" ht="76.5" x14ac:dyDescent="0.25">
      <c r="A19" s="12" t="s">
        <v>127</v>
      </c>
      <c r="B19" s="13" t="s">
        <v>21</v>
      </c>
      <c r="C19" s="14" t="s">
        <v>51</v>
      </c>
      <c r="D19" s="13" t="s">
        <v>128</v>
      </c>
      <c r="E19" s="13" t="s">
        <v>129</v>
      </c>
      <c r="F19" s="14" t="s">
        <v>54</v>
      </c>
      <c r="G19" s="14" t="s">
        <v>55</v>
      </c>
      <c r="H19" s="14" t="s">
        <v>8</v>
      </c>
      <c r="I19" s="14" t="str">
        <f t="shared" si="0"/>
        <v>✔</v>
      </c>
      <c r="J19" s="13" t="s">
        <v>130</v>
      </c>
      <c r="K19" s="13"/>
    </row>
    <row r="20" spans="1:11" ht="242.25" x14ac:dyDescent="0.25">
      <c r="A20" s="12" t="s">
        <v>131</v>
      </c>
      <c r="B20" s="13" t="s">
        <v>21</v>
      </c>
      <c r="C20" s="14" t="s">
        <v>51</v>
      </c>
      <c r="D20" s="13" t="s">
        <v>132</v>
      </c>
      <c r="E20" s="13" t="s">
        <v>133</v>
      </c>
      <c r="F20" s="14" t="s">
        <v>54</v>
      </c>
      <c r="G20" s="14" t="s">
        <v>55</v>
      </c>
      <c r="H20" s="14" t="s">
        <v>8</v>
      </c>
      <c r="I20" s="14" t="str">
        <f t="shared" si="0"/>
        <v>✔</v>
      </c>
      <c r="J20" s="13" t="s">
        <v>134</v>
      </c>
      <c r="K20" s="13" t="s">
        <v>135</v>
      </c>
    </row>
    <row r="21" spans="1:11" ht="76.5" x14ac:dyDescent="0.25">
      <c r="A21" s="12" t="s">
        <v>136</v>
      </c>
      <c r="B21" s="13" t="s">
        <v>21</v>
      </c>
      <c r="C21" s="14" t="s">
        <v>51</v>
      </c>
      <c r="D21" s="13" t="s">
        <v>137</v>
      </c>
      <c r="E21" s="13" t="s">
        <v>138</v>
      </c>
      <c r="F21" s="14" t="s">
        <v>68</v>
      </c>
      <c r="G21" s="14" t="s">
        <v>55</v>
      </c>
      <c r="H21" s="14" t="s">
        <v>8</v>
      </c>
      <c r="I21" s="14" t="str">
        <f t="shared" si="0"/>
        <v>✔</v>
      </c>
      <c r="J21" s="13" t="s">
        <v>139</v>
      </c>
      <c r="K21" s="13" t="s">
        <v>140</v>
      </c>
    </row>
    <row r="22" spans="1:11" ht="76.5" x14ac:dyDescent="0.25">
      <c r="A22" s="12" t="s">
        <v>141</v>
      </c>
      <c r="B22" s="13" t="s">
        <v>21</v>
      </c>
      <c r="C22" s="14" t="s">
        <v>51</v>
      </c>
      <c r="D22" s="13" t="s">
        <v>142</v>
      </c>
      <c r="E22" s="13" t="s">
        <v>143</v>
      </c>
      <c r="F22" s="14" t="s">
        <v>68</v>
      </c>
      <c r="G22" s="14" t="s">
        <v>55</v>
      </c>
      <c r="H22" s="14" t="s">
        <v>8</v>
      </c>
      <c r="I22" s="14" t="str">
        <f t="shared" si="0"/>
        <v>✔</v>
      </c>
      <c r="J22" s="13" t="s">
        <v>144</v>
      </c>
      <c r="K22" s="13"/>
    </row>
    <row r="23" spans="1:11" ht="89.25" x14ac:dyDescent="0.25">
      <c r="A23" s="12" t="s">
        <v>145</v>
      </c>
      <c r="B23" s="13" t="s">
        <v>21</v>
      </c>
      <c r="C23" s="14" t="s">
        <v>51</v>
      </c>
      <c r="D23" s="13" t="s">
        <v>146</v>
      </c>
      <c r="E23" s="13" t="s">
        <v>147</v>
      </c>
      <c r="F23" s="14" t="s">
        <v>68</v>
      </c>
      <c r="G23" s="14" t="s">
        <v>55</v>
      </c>
      <c r="H23" s="14" t="s">
        <v>8</v>
      </c>
      <c r="I23" s="14" t="str">
        <f t="shared" si="0"/>
        <v>✔</v>
      </c>
      <c r="J23" s="13" t="s">
        <v>148</v>
      </c>
      <c r="K23" s="13"/>
    </row>
    <row r="24" spans="1:11" ht="76.5" x14ac:dyDescent="0.25">
      <c r="A24" s="12" t="s">
        <v>149</v>
      </c>
      <c r="B24" s="13" t="s">
        <v>22</v>
      </c>
      <c r="C24" s="14" t="s">
        <v>75</v>
      </c>
      <c r="D24" s="13" t="s">
        <v>150</v>
      </c>
      <c r="E24" s="13" t="s">
        <v>151</v>
      </c>
      <c r="F24" s="14" t="s">
        <v>54</v>
      </c>
      <c r="G24" s="14" t="s">
        <v>55</v>
      </c>
      <c r="H24" s="14" t="s">
        <v>8</v>
      </c>
      <c r="I24" s="14" t="str">
        <f t="shared" si="0"/>
        <v>✔</v>
      </c>
      <c r="J24" s="13" t="s">
        <v>152</v>
      </c>
      <c r="K24" s="13"/>
    </row>
    <row r="25" spans="1:11" ht="63.75" x14ac:dyDescent="0.25">
      <c r="A25" s="12" t="s">
        <v>153</v>
      </c>
      <c r="B25" s="13" t="s">
        <v>22</v>
      </c>
      <c r="C25" s="14" t="s">
        <v>75</v>
      </c>
      <c r="D25" s="13" t="s">
        <v>154</v>
      </c>
      <c r="E25" s="13" t="s">
        <v>155</v>
      </c>
      <c r="F25" s="14" t="s">
        <v>54</v>
      </c>
      <c r="G25" s="14" t="s">
        <v>55</v>
      </c>
      <c r="H25" s="14" t="s">
        <v>8</v>
      </c>
      <c r="I25" s="14" t="str">
        <f t="shared" si="0"/>
        <v>✔</v>
      </c>
      <c r="J25" s="13" t="s">
        <v>156</v>
      </c>
      <c r="K25" s="13"/>
    </row>
    <row r="26" spans="1:11" ht="63.75" x14ac:dyDescent="0.25">
      <c r="A26" s="12" t="s">
        <v>157</v>
      </c>
      <c r="B26" s="13" t="s">
        <v>22</v>
      </c>
      <c r="C26" s="14" t="s">
        <v>75</v>
      </c>
      <c r="D26" s="13" t="s">
        <v>158</v>
      </c>
      <c r="E26" s="13" t="s">
        <v>159</v>
      </c>
      <c r="F26" s="14" t="s">
        <v>54</v>
      </c>
      <c r="G26" s="14" t="s">
        <v>55</v>
      </c>
      <c r="H26" s="14" t="s">
        <v>8</v>
      </c>
      <c r="I26" s="14" t="str">
        <f t="shared" si="0"/>
        <v>✔</v>
      </c>
      <c r="J26" s="13" t="s">
        <v>160</v>
      </c>
      <c r="K26" s="13"/>
    </row>
    <row r="27" spans="1:11" ht="63.75" x14ac:dyDescent="0.25">
      <c r="A27" s="12" t="s">
        <v>161</v>
      </c>
      <c r="B27" s="13" t="s">
        <v>22</v>
      </c>
      <c r="C27" s="14" t="s">
        <v>75</v>
      </c>
      <c r="D27" s="13" t="s">
        <v>162</v>
      </c>
      <c r="E27" s="13" t="s">
        <v>163</v>
      </c>
      <c r="F27" s="14" t="s">
        <v>54</v>
      </c>
      <c r="G27" s="14" t="s">
        <v>55</v>
      </c>
      <c r="H27" s="14" t="s">
        <v>8</v>
      </c>
      <c r="I27" s="14" t="str">
        <f t="shared" si="0"/>
        <v>✔</v>
      </c>
      <c r="J27" s="13" t="s">
        <v>164</v>
      </c>
      <c r="K27" s="13" t="s">
        <v>165</v>
      </c>
    </row>
    <row r="28" spans="1:11" ht="63.75" x14ac:dyDescent="0.25">
      <c r="A28" s="12" t="s">
        <v>166</v>
      </c>
      <c r="B28" s="13" t="s">
        <v>22</v>
      </c>
      <c r="C28" s="14" t="s">
        <v>46</v>
      </c>
      <c r="D28" s="13" t="s">
        <v>167</v>
      </c>
      <c r="E28" s="13" t="s">
        <v>168</v>
      </c>
      <c r="F28" s="14" t="s">
        <v>68</v>
      </c>
      <c r="G28" s="14" t="s">
        <v>55</v>
      </c>
      <c r="H28" s="14" t="s">
        <v>8</v>
      </c>
      <c r="I28" s="14" t="str">
        <f t="shared" si="0"/>
        <v>✔</v>
      </c>
      <c r="J28" s="13" t="s">
        <v>169</v>
      </c>
      <c r="K28" s="13" t="s">
        <v>170</v>
      </c>
    </row>
    <row r="29" spans="1:11" ht="76.5" x14ac:dyDescent="0.25">
      <c r="A29" s="12" t="s">
        <v>171</v>
      </c>
      <c r="B29" s="13" t="s">
        <v>22</v>
      </c>
      <c r="C29" s="14" t="s">
        <v>46</v>
      </c>
      <c r="D29" s="13" t="s">
        <v>172</v>
      </c>
      <c r="E29" s="13" t="s">
        <v>173</v>
      </c>
      <c r="F29" s="14" t="s">
        <v>68</v>
      </c>
      <c r="G29" s="14" t="s">
        <v>55</v>
      </c>
      <c r="H29" s="14" t="s">
        <v>8</v>
      </c>
      <c r="I29" s="14" t="str">
        <f t="shared" si="0"/>
        <v>✔</v>
      </c>
      <c r="J29" s="13" t="s">
        <v>174</v>
      </c>
      <c r="K29" s="13"/>
    </row>
    <row r="30" spans="1:11" ht="63.75" x14ac:dyDescent="0.25">
      <c r="A30" s="12" t="s">
        <v>175</v>
      </c>
      <c r="B30" s="13" t="s">
        <v>22</v>
      </c>
      <c r="C30" s="14" t="s">
        <v>46</v>
      </c>
      <c r="D30" s="13" t="s">
        <v>176</v>
      </c>
      <c r="E30" s="13" t="s">
        <v>177</v>
      </c>
      <c r="F30" s="14" t="s">
        <v>68</v>
      </c>
      <c r="G30" s="14" t="s">
        <v>55</v>
      </c>
      <c r="H30" s="14" t="s">
        <v>9</v>
      </c>
      <c r="I30" s="14" t="str">
        <f t="shared" si="0"/>
        <v>◐</v>
      </c>
      <c r="J30" s="13" t="s">
        <v>178</v>
      </c>
      <c r="K30" s="13" t="s">
        <v>179</v>
      </c>
    </row>
    <row r="31" spans="1:11" ht="51" x14ac:dyDescent="0.25">
      <c r="A31" s="12" t="s">
        <v>180</v>
      </c>
      <c r="B31" s="13" t="s">
        <v>22</v>
      </c>
      <c r="C31" s="14" t="s">
        <v>46</v>
      </c>
      <c r="D31" s="13" t="s">
        <v>181</v>
      </c>
      <c r="E31" s="13" t="s">
        <v>182</v>
      </c>
      <c r="F31" s="14" t="s">
        <v>68</v>
      </c>
      <c r="G31" s="14" t="s">
        <v>55</v>
      </c>
      <c r="H31" s="14" t="s">
        <v>10</v>
      </c>
      <c r="I31" s="14" t="str">
        <f t="shared" si="0"/>
        <v>✖</v>
      </c>
      <c r="J31" s="13" t="s">
        <v>183</v>
      </c>
      <c r="K31" s="13" t="s">
        <v>184</v>
      </c>
    </row>
    <row r="32" spans="1:11" ht="114.75" x14ac:dyDescent="0.25">
      <c r="A32" s="12" t="s">
        <v>185</v>
      </c>
      <c r="B32" s="13" t="s">
        <v>22</v>
      </c>
      <c r="C32" s="14" t="s">
        <v>75</v>
      </c>
      <c r="D32" s="13" t="s">
        <v>186</v>
      </c>
      <c r="E32" s="13" t="s">
        <v>187</v>
      </c>
      <c r="F32" s="14" t="s">
        <v>54</v>
      </c>
      <c r="G32" s="14" t="s">
        <v>55</v>
      </c>
      <c r="H32" s="14" t="s">
        <v>9</v>
      </c>
      <c r="I32" s="14" t="str">
        <f t="shared" si="0"/>
        <v>◐</v>
      </c>
      <c r="J32" s="13" t="s">
        <v>188</v>
      </c>
      <c r="K32" s="13" t="s">
        <v>189</v>
      </c>
    </row>
    <row r="33" spans="1:11" ht="76.5" x14ac:dyDescent="0.25">
      <c r="A33" s="12" t="s">
        <v>190</v>
      </c>
      <c r="B33" s="13" t="s">
        <v>23</v>
      </c>
      <c r="C33" s="14" t="s">
        <v>51</v>
      </c>
      <c r="D33" s="13" t="s">
        <v>191</v>
      </c>
      <c r="E33" s="13" t="s">
        <v>192</v>
      </c>
      <c r="F33" s="14" t="s">
        <v>54</v>
      </c>
      <c r="G33" s="14" t="s">
        <v>55</v>
      </c>
      <c r="H33" s="14" t="s">
        <v>8</v>
      </c>
      <c r="I33" s="14" t="str">
        <f t="shared" si="0"/>
        <v>✔</v>
      </c>
      <c r="J33" s="13" t="s">
        <v>193</v>
      </c>
      <c r="K33" s="13"/>
    </row>
    <row r="34" spans="1:11" ht="51" x14ac:dyDescent="0.25">
      <c r="A34" s="12" t="s">
        <v>194</v>
      </c>
      <c r="B34" s="13" t="s">
        <v>23</v>
      </c>
      <c r="C34" s="14" t="s">
        <v>51</v>
      </c>
      <c r="D34" s="13" t="s">
        <v>195</v>
      </c>
      <c r="E34" s="13" t="s">
        <v>196</v>
      </c>
      <c r="F34" s="14" t="s">
        <v>54</v>
      </c>
      <c r="G34" s="14" t="s">
        <v>197</v>
      </c>
      <c r="H34" s="14" t="s">
        <v>8</v>
      </c>
      <c r="I34" s="14" t="str">
        <f t="shared" ref="I34:I65" si="1">IF(H34="Karşılandı","✔",IF(H34="Kısmi","◐",IF(H34="Karşılanmadı","✖","")))</f>
        <v>✔</v>
      </c>
      <c r="J34" s="13" t="s">
        <v>198</v>
      </c>
      <c r="K34" s="13"/>
    </row>
    <row r="35" spans="1:11" ht="38.25" x14ac:dyDescent="0.25">
      <c r="A35" s="12" t="s">
        <v>199</v>
      </c>
      <c r="B35" s="13" t="s">
        <v>23</v>
      </c>
      <c r="C35" s="14" t="s">
        <v>51</v>
      </c>
      <c r="D35" s="13" t="s">
        <v>200</v>
      </c>
      <c r="E35" s="13" t="s">
        <v>201</v>
      </c>
      <c r="F35" s="14" t="s">
        <v>54</v>
      </c>
      <c r="G35" s="14" t="s">
        <v>197</v>
      </c>
      <c r="H35" s="14" t="s">
        <v>8</v>
      </c>
      <c r="I35" s="14" t="str">
        <f t="shared" si="1"/>
        <v>✔</v>
      </c>
      <c r="J35" s="13" t="s">
        <v>202</v>
      </c>
      <c r="K35" s="13"/>
    </row>
    <row r="36" spans="1:11" ht="51" x14ac:dyDescent="0.25">
      <c r="A36" s="12" t="s">
        <v>203</v>
      </c>
      <c r="B36" s="13" t="s">
        <v>23</v>
      </c>
      <c r="C36" s="14" t="s">
        <v>51</v>
      </c>
      <c r="D36" s="13" t="s">
        <v>204</v>
      </c>
      <c r="E36" s="13" t="s">
        <v>205</v>
      </c>
      <c r="F36" s="14" t="s">
        <v>68</v>
      </c>
      <c r="G36" s="14" t="s">
        <v>197</v>
      </c>
      <c r="H36" s="14" t="s">
        <v>8</v>
      </c>
      <c r="I36" s="14" t="str">
        <f t="shared" si="1"/>
        <v>✔</v>
      </c>
      <c r="J36" s="13" t="s">
        <v>206</v>
      </c>
      <c r="K36" s="13"/>
    </row>
    <row r="37" spans="1:11" ht="51" x14ac:dyDescent="0.25">
      <c r="A37" s="12" t="s">
        <v>207</v>
      </c>
      <c r="B37" s="13" t="s">
        <v>23</v>
      </c>
      <c r="C37" s="14" t="s">
        <v>51</v>
      </c>
      <c r="D37" s="13" t="s">
        <v>208</v>
      </c>
      <c r="E37" s="13" t="s">
        <v>209</v>
      </c>
      <c r="F37" s="14" t="s">
        <v>68</v>
      </c>
      <c r="G37" s="14" t="s">
        <v>197</v>
      </c>
      <c r="H37" s="14" t="s">
        <v>8</v>
      </c>
      <c r="I37" s="14" t="str">
        <f t="shared" si="1"/>
        <v>✔</v>
      </c>
      <c r="J37" s="13" t="s">
        <v>210</v>
      </c>
      <c r="K37" s="13" t="s">
        <v>211</v>
      </c>
    </row>
    <row r="38" spans="1:11" ht="76.5" x14ac:dyDescent="0.25">
      <c r="A38" s="12" t="s">
        <v>212</v>
      </c>
      <c r="B38" s="13" t="s">
        <v>23</v>
      </c>
      <c r="C38" s="14" t="s">
        <v>51</v>
      </c>
      <c r="D38" s="13" t="s">
        <v>213</v>
      </c>
      <c r="E38" s="13" t="s">
        <v>214</v>
      </c>
      <c r="F38" s="14" t="s">
        <v>54</v>
      </c>
      <c r="G38" s="14" t="s">
        <v>55</v>
      </c>
      <c r="H38" s="14" t="s">
        <v>8</v>
      </c>
      <c r="I38" s="14" t="str">
        <f t="shared" si="1"/>
        <v>✔</v>
      </c>
      <c r="J38" s="13" t="s">
        <v>215</v>
      </c>
      <c r="K38" s="13"/>
    </row>
    <row r="39" spans="1:11" ht="63.75" x14ac:dyDescent="0.25">
      <c r="A39" s="12" t="s">
        <v>216</v>
      </c>
      <c r="B39" s="13" t="s">
        <v>23</v>
      </c>
      <c r="C39" s="14" t="s">
        <v>51</v>
      </c>
      <c r="D39" s="13" t="s">
        <v>217</v>
      </c>
      <c r="E39" s="13" t="s">
        <v>218</v>
      </c>
      <c r="F39" s="14" t="s">
        <v>54</v>
      </c>
      <c r="G39" s="14" t="s">
        <v>55</v>
      </c>
      <c r="H39" s="14" t="s">
        <v>8</v>
      </c>
      <c r="I39" s="14" t="str">
        <f t="shared" si="1"/>
        <v>✔</v>
      </c>
      <c r="J39" s="13" t="s">
        <v>219</v>
      </c>
      <c r="K39" s="13"/>
    </row>
    <row r="40" spans="1:11" ht="89.25" x14ac:dyDescent="0.25">
      <c r="A40" s="12" t="s">
        <v>220</v>
      </c>
      <c r="B40" s="13" t="s">
        <v>23</v>
      </c>
      <c r="C40" s="14" t="s">
        <v>51</v>
      </c>
      <c r="D40" s="13" t="s">
        <v>221</v>
      </c>
      <c r="E40" s="13" t="s">
        <v>222</v>
      </c>
      <c r="F40" s="14" t="s">
        <v>54</v>
      </c>
      <c r="G40" s="14" t="s">
        <v>55</v>
      </c>
      <c r="H40" s="14" t="s">
        <v>8</v>
      </c>
      <c r="I40" s="14" t="str">
        <f t="shared" si="1"/>
        <v>✔</v>
      </c>
      <c r="J40" s="13" t="s">
        <v>223</v>
      </c>
      <c r="K40" s="13"/>
    </row>
    <row r="41" spans="1:11" ht="51" x14ac:dyDescent="0.25">
      <c r="A41" s="12" t="s">
        <v>224</v>
      </c>
      <c r="B41" s="13" t="s">
        <v>23</v>
      </c>
      <c r="C41" s="14" t="s">
        <v>51</v>
      </c>
      <c r="D41" s="13" t="s">
        <v>225</v>
      </c>
      <c r="E41" s="13" t="s">
        <v>226</v>
      </c>
      <c r="F41" s="14" t="s">
        <v>54</v>
      </c>
      <c r="G41" s="14" t="s">
        <v>55</v>
      </c>
      <c r="H41" s="14" t="s">
        <v>8</v>
      </c>
      <c r="I41" s="14" t="str">
        <f t="shared" si="1"/>
        <v>✔</v>
      </c>
      <c r="J41" s="13" t="s">
        <v>227</v>
      </c>
      <c r="K41" s="13"/>
    </row>
    <row r="42" spans="1:11" ht="63.75" x14ac:dyDescent="0.25">
      <c r="A42" s="12" t="s">
        <v>228</v>
      </c>
      <c r="B42" s="13" t="s">
        <v>23</v>
      </c>
      <c r="C42" s="14" t="s">
        <v>46</v>
      </c>
      <c r="D42" s="13" t="s">
        <v>229</v>
      </c>
      <c r="E42" s="13" t="s">
        <v>230</v>
      </c>
      <c r="F42" s="14" t="s">
        <v>68</v>
      </c>
      <c r="G42" s="14" t="s">
        <v>55</v>
      </c>
      <c r="H42" s="14" t="s">
        <v>8</v>
      </c>
      <c r="I42" s="14" t="str">
        <f t="shared" si="1"/>
        <v>✔</v>
      </c>
      <c r="J42" s="13" t="s">
        <v>231</v>
      </c>
      <c r="K42" s="13"/>
    </row>
    <row r="43" spans="1:11" ht="76.5" x14ac:dyDescent="0.25">
      <c r="A43" s="12" t="s">
        <v>232</v>
      </c>
      <c r="B43" s="13" t="s">
        <v>23</v>
      </c>
      <c r="C43" s="14" t="s">
        <v>51</v>
      </c>
      <c r="D43" s="13" t="s">
        <v>233</v>
      </c>
      <c r="E43" s="13" t="s">
        <v>234</v>
      </c>
      <c r="F43" s="14" t="s">
        <v>68</v>
      </c>
      <c r="G43" s="14" t="s">
        <v>235</v>
      </c>
      <c r="H43" s="14" t="s">
        <v>8</v>
      </c>
      <c r="I43" s="14" t="str">
        <f t="shared" si="1"/>
        <v>✔</v>
      </c>
      <c r="J43" s="13" t="s">
        <v>236</v>
      </c>
      <c r="K43" s="13" t="s">
        <v>237</v>
      </c>
    </row>
    <row r="44" spans="1:11" ht="76.5" x14ac:dyDescent="0.25">
      <c r="A44" s="12" t="s">
        <v>238</v>
      </c>
      <c r="B44" s="13" t="s">
        <v>23</v>
      </c>
      <c r="C44" s="14" t="s">
        <v>51</v>
      </c>
      <c r="D44" s="13" t="s">
        <v>239</v>
      </c>
      <c r="E44" s="13" t="s">
        <v>240</v>
      </c>
      <c r="F44" s="14" t="s">
        <v>68</v>
      </c>
      <c r="G44" s="14" t="s">
        <v>235</v>
      </c>
      <c r="H44" s="14" t="s">
        <v>10</v>
      </c>
      <c r="I44" s="14" t="str">
        <f t="shared" si="1"/>
        <v>✖</v>
      </c>
      <c r="J44" s="13" t="s">
        <v>241</v>
      </c>
      <c r="K44" s="13" t="s">
        <v>242</v>
      </c>
    </row>
    <row r="45" spans="1:11" ht="76.5" x14ac:dyDescent="0.25">
      <c r="A45" s="12" t="s">
        <v>243</v>
      </c>
      <c r="B45" s="13" t="s">
        <v>24</v>
      </c>
      <c r="C45" s="14" t="s">
        <v>98</v>
      </c>
      <c r="D45" s="13" t="s">
        <v>244</v>
      </c>
      <c r="E45" s="13" t="s">
        <v>245</v>
      </c>
      <c r="F45" s="14" t="s">
        <v>54</v>
      </c>
      <c r="G45" s="14" t="s">
        <v>55</v>
      </c>
      <c r="H45" s="14" t="s">
        <v>8</v>
      </c>
      <c r="I45" s="14" t="str">
        <f t="shared" si="1"/>
        <v>✔</v>
      </c>
      <c r="J45" s="13" t="s">
        <v>246</v>
      </c>
      <c r="K45" s="13"/>
    </row>
    <row r="46" spans="1:11" ht="89.25" x14ac:dyDescent="0.25">
      <c r="A46" s="12" t="s">
        <v>247</v>
      </c>
      <c r="B46" s="13" t="s">
        <v>24</v>
      </c>
      <c r="C46" s="14" t="s">
        <v>51</v>
      </c>
      <c r="D46" s="13" t="s">
        <v>248</v>
      </c>
      <c r="E46" s="13" t="s">
        <v>249</v>
      </c>
      <c r="F46" s="14" t="s">
        <v>54</v>
      </c>
      <c r="G46" s="14" t="s">
        <v>55</v>
      </c>
      <c r="H46" s="14" t="s">
        <v>8</v>
      </c>
      <c r="I46" s="14" t="str">
        <f t="shared" si="1"/>
        <v>✔</v>
      </c>
      <c r="J46" s="13" t="s">
        <v>250</v>
      </c>
      <c r="K46" s="13"/>
    </row>
    <row r="47" spans="1:11" ht="51" x14ac:dyDescent="0.25">
      <c r="A47" s="12" t="s">
        <v>251</v>
      </c>
      <c r="B47" s="13" t="s">
        <v>24</v>
      </c>
      <c r="C47" s="14" t="s">
        <v>51</v>
      </c>
      <c r="D47" s="13" t="s">
        <v>252</v>
      </c>
      <c r="E47" s="13" t="s">
        <v>253</v>
      </c>
      <c r="F47" s="14" t="s">
        <v>68</v>
      </c>
      <c r="G47" s="14" t="s">
        <v>55</v>
      </c>
      <c r="H47" s="14" t="s">
        <v>8</v>
      </c>
      <c r="I47" s="14" t="str">
        <f t="shared" si="1"/>
        <v>✔</v>
      </c>
      <c r="J47" s="13" t="s">
        <v>254</v>
      </c>
      <c r="K47" s="13"/>
    </row>
    <row r="48" spans="1:11" ht="63.75" x14ac:dyDescent="0.25">
      <c r="A48" s="12" t="s">
        <v>255</v>
      </c>
      <c r="B48" s="13" t="s">
        <v>24</v>
      </c>
      <c r="C48" s="14" t="s">
        <v>51</v>
      </c>
      <c r="D48" s="13" t="s">
        <v>256</v>
      </c>
      <c r="E48" s="13" t="s">
        <v>257</v>
      </c>
      <c r="F48" s="14" t="s">
        <v>68</v>
      </c>
      <c r="G48" s="14" t="s">
        <v>55</v>
      </c>
      <c r="H48" s="14" t="s">
        <v>8</v>
      </c>
      <c r="I48" s="14" t="str">
        <f t="shared" si="1"/>
        <v>✔</v>
      </c>
      <c r="J48" s="13" t="s">
        <v>258</v>
      </c>
      <c r="K48" s="13"/>
    </row>
    <row r="49" spans="1:11" ht="89.25" x14ac:dyDescent="0.25">
      <c r="A49" s="12" t="s">
        <v>259</v>
      </c>
      <c r="B49" s="13" t="s">
        <v>24</v>
      </c>
      <c r="C49" s="14" t="s">
        <v>51</v>
      </c>
      <c r="D49" s="13" t="s">
        <v>260</v>
      </c>
      <c r="E49" s="13" t="s">
        <v>261</v>
      </c>
      <c r="F49" s="14" t="s">
        <v>68</v>
      </c>
      <c r="G49" s="14" t="s">
        <v>55</v>
      </c>
      <c r="H49" s="14" t="s">
        <v>8</v>
      </c>
      <c r="I49" s="14" t="str">
        <f t="shared" si="1"/>
        <v>✔</v>
      </c>
      <c r="J49" s="13" t="s">
        <v>262</v>
      </c>
      <c r="K49" s="13"/>
    </row>
    <row r="50" spans="1:11" ht="63.75" x14ac:dyDescent="0.25">
      <c r="A50" s="12" t="s">
        <v>263</v>
      </c>
      <c r="B50" s="13" t="s">
        <v>24</v>
      </c>
      <c r="C50" s="14" t="s">
        <v>51</v>
      </c>
      <c r="D50" s="13" t="s">
        <v>264</v>
      </c>
      <c r="E50" s="13" t="s">
        <v>265</v>
      </c>
      <c r="F50" s="14" t="s">
        <v>266</v>
      </c>
      <c r="G50" s="14" t="s">
        <v>235</v>
      </c>
      <c r="H50" s="14" t="s">
        <v>9</v>
      </c>
      <c r="I50" s="14" t="str">
        <f t="shared" si="1"/>
        <v>◐</v>
      </c>
      <c r="J50" s="13" t="s">
        <v>267</v>
      </c>
      <c r="K50" s="13" t="s">
        <v>268</v>
      </c>
    </row>
    <row r="51" spans="1:11" ht="127.5" x14ac:dyDescent="0.25">
      <c r="A51" s="12" t="s">
        <v>269</v>
      </c>
      <c r="B51" s="13" t="s">
        <v>25</v>
      </c>
      <c r="C51" s="14" t="s">
        <v>51</v>
      </c>
      <c r="D51" s="13" t="s">
        <v>270</v>
      </c>
      <c r="E51" s="13" t="s">
        <v>271</v>
      </c>
      <c r="F51" s="14" t="s">
        <v>54</v>
      </c>
      <c r="G51" s="14" t="s">
        <v>55</v>
      </c>
      <c r="H51" s="14" t="s">
        <v>8</v>
      </c>
      <c r="I51" s="14" t="str">
        <f t="shared" si="1"/>
        <v>✔</v>
      </c>
      <c r="J51" s="13" t="s">
        <v>272</v>
      </c>
      <c r="K51" s="13" t="s">
        <v>273</v>
      </c>
    </row>
    <row r="52" spans="1:11" ht="63.75" x14ac:dyDescent="0.25">
      <c r="A52" s="12" t="s">
        <v>274</v>
      </c>
      <c r="B52" s="13" t="s">
        <v>25</v>
      </c>
      <c r="C52" s="14" t="s">
        <v>51</v>
      </c>
      <c r="D52" s="13" t="s">
        <v>275</v>
      </c>
      <c r="E52" s="13" t="s">
        <v>276</v>
      </c>
      <c r="F52" s="14" t="s">
        <v>54</v>
      </c>
      <c r="G52" s="14" t="s">
        <v>55</v>
      </c>
      <c r="H52" s="14" t="s">
        <v>8</v>
      </c>
      <c r="I52" s="14" t="str">
        <f t="shared" si="1"/>
        <v>✔</v>
      </c>
      <c r="J52" s="13" t="s">
        <v>277</v>
      </c>
      <c r="K52" s="13" t="s">
        <v>278</v>
      </c>
    </row>
    <row r="53" spans="1:11" ht="89.25" x14ac:dyDescent="0.25">
      <c r="A53" s="12" t="s">
        <v>279</v>
      </c>
      <c r="B53" s="13" t="s">
        <v>25</v>
      </c>
      <c r="C53" s="14" t="s">
        <v>51</v>
      </c>
      <c r="D53" s="13" t="s">
        <v>280</v>
      </c>
      <c r="E53" s="13" t="s">
        <v>281</v>
      </c>
      <c r="F53" s="14" t="s">
        <v>54</v>
      </c>
      <c r="G53" s="14" t="s">
        <v>55</v>
      </c>
      <c r="H53" s="14" t="s">
        <v>8</v>
      </c>
      <c r="I53" s="14" t="str">
        <f t="shared" si="1"/>
        <v>✔</v>
      </c>
      <c r="J53" s="13" t="s">
        <v>282</v>
      </c>
      <c r="K53" s="13"/>
    </row>
    <row r="54" spans="1:11" ht="51" x14ac:dyDescent="0.25">
      <c r="A54" s="12" t="s">
        <v>283</v>
      </c>
      <c r="B54" s="13" t="s">
        <v>25</v>
      </c>
      <c r="C54" s="14" t="s">
        <v>51</v>
      </c>
      <c r="D54" s="13" t="s">
        <v>284</v>
      </c>
      <c r="E54" s="13" t="s">
        <v>285</v>
      </c>
      <c r="F54" s="14" t="s">
        <v>54</v>
      </c>
      <c r="G54" s="14" t="s">
        <v>55</v>
      </c>
      <c r="H54" s="14" t="s">
        <v>8</v>
      </c>
      <c r="I54" s="14" t="str">
        <f t="shared" si="1"/>
        <v>✔</v>
      </c>
      <c r="J54" s="13" t="s">
        <v>286</v>
      </c>
      <c r="K54" s="13"/>
    </row>
    <row r="55" spans="1:11" ht="102" x14ac:dyDescent="0.25">
      <c r="A55" s="12" t="s">
        <v>287</v>
      </c>
      <c r="B55" s="13" t="s">
        <v>25</v>
      </c>
      <c r="C55" s="14" t="s">
        <v>98</v>
      </c>
      <c r="D55" s="13" t="s">
        <v>288</v>
      </c>
      <c r="E55" s="13" t="s">
        <v>289</v>
      </c>
      <c r="F55" s="14" t="s">
        <v>68</v>
      </c>
      <c r="G55" s="14" t="s">
        <v>55</v>
      </c>
      <c r="H55" s="14" t="s">
        <v>8</v>
      </c>
      <c r="I55" s="14" t="str">
        <f t="shared" si="1"/>
        <v>✔</v>
      </c>
      <c r="J55" s="13" t="s">
        <v>290</v>
      </c>
      <c r="K55" s="13"/>
    </row>
    <row r="56" spans="1:11" ht="76.5" x14ac:dyDescent="0.25">
      <c r="A56" s="12" t="s">
        <v>291</v>
      </c>
      <c r="B56" s="13" t="s">
        <v>25</v>
      </c>
      <c r="C56" s="14" t="s">
        <v>75</v>
      </c>
      <c r="D56" s="13" t="s">
        <v>292</v>
      </c>
      <c r="E56" s="13" t="s">
        <v>293</v>
      </c>
      <c r="F56" s="14" t="s">
        <v>68</v>
      </c>
      <c r="G56" s="14" t="s">
        <v>55</v>
      </c>
      <c r="H56" s="14" t="s">
        <v>8</v>
      </c>
      <c r="I56" s="14" t="str">
        <f t="shared" si="1"/>
        <v>✔</v>
      </c>
      <c r="J56" s="13" t="s">
        <v>294</v>
      </c>
      <c r="K56" s="13" t="s">
        <v>295</v>
      </c>
    </row>
    <row r="57" spans="1:11" ht="63.75" x14ac:dyDescent="0.25">
      <c r="A57" s="12" t="s">
        <v>296</v>
      </c>
      <c r="B57" s="13" t="s">
        <v>25</v>
      </c>
      <c r="C57" s="14" t="s">
        <v>51</v>
      </c>
      <c r="D57" s="13" t="s">
        <v>297</v>
      </c>
      <c r="E57" s="13" t="s">
        <v>298</v>
      </c>
      <c r="F57" s="14" t="s">
        <v>68</v>
      </c>
      <c r="G57" s="14" t="s">
        <v>55</v>
      </c>
      <c r="H57" s="14" t="s">
        <v>8</v>
      </c>
      <c r="I57" s="14" t="str">
        <f t="shared" si="1"/>
        <v>✔</v>
      </c>
      <c r="J57" s="13" t="s">
        <v>299</v>
      </c>
      <c r="K57" s="13"/>
    </row>
    <row r="58" spans="1:11" ht="76.5" x14ac:dyDescent="0.25">
      <c r="A58" s="12" t="s">
        <v>300</v>
      </c>
      <c r="B58" s="13" t="s">
        <v>25</v>
      </c>
      <c r="C58" s="14" t="s">
        <v>51</v>
      </c>
      <c r="D58" s="13" t="s">
        <v>301</v>
      </c>
      <c r="E58" s="13" t="s">
        <v>302</v>
      </c>
      <c r="F58" s="14" t="s">
        <v>68</v>
      </c>
      <c r="G58" s="14" t="s">
        <v>55</v>
      </c>
      <c r="H58" s="14" t="s">
        <v>8</v>
      </c>
      <c r="I58" s="14" t="str">
        <f t="shared" si="1"/>
        <v>✔</v>
      </c>
      <c r="J58" s="13" t="s">
        <v>303</v>
      </c>
      <c r="K58" s="13"/>
    </row>
    <row r="59" spans="1:11" ht="63.75" x14ac:dyDescent="0.25">
      <c r="A59" s="12" t="s">
        <v>304</v>
      </c>
      <c r="B59" s="13" t="s">
        <v>25</v>
      </c>
      <c r="C59" s="14" t="s">
        <v>51</v>
      </c>
      <c r="D59" s="13" t="s">
        <v>305</v>
      </c>
      <c r="E59" s="13" t="s">
        <v>306</v>
      </c>
      <c r="F59" s="14" t="s">
        <v>68</v>
      </c>
      <c r="G59" s="14" t="s">
        <v>55</v>
      </c>
      <c r="H59" s="14" t="s">
        <v>9</v>
      </c>
      <c r="I59" s="14" t="str">
        <f t="shared" si="1"/>
        <v>◐</v>
      </c>
      <c r="J59" s="13" t="s">
        <v>307</v>
      </c>
      <c r="K59" s="13" t="s">
        <v>308</v>
      </c>
    </row>
    <row r="60" spans="1:11" ht="89.25" x14ac:dyDescent="0.25">
      <c r="A60" s="12" t="s">
        <v>309</v>
      </c>
      <c r="B60" s="13" t="s">
        <v>25</v>
      </c>
      <c r="C60" s="14" t="s">
        <v>89</v>
      </c>
      <c r="D60" s="13" t="s">
        <v>310</v>
      </c>
      <c r="E60" s="13" t="s">
        <v>311</v>
      </c>
      <c r="F60" s="14" t="s">
        <v>266</v>
      </c>
      <c r="G60" s="14" t="s">
        <v>55</v>
      </c>
      <c r="H60" s="14" t="s">
        <v>8</v>
      </c>
      <c r="I60" s="14" t="str">
        <f t="shared" si="1"/>
        <v>✔</v>
      </c>
      <c r="J60" s="13" t="s">
        <v>312</v>
      </c>
      <c r="K60" s="13" t="s">
        <v>313</v>
      </c>
    </row>
    <row r="61" spans="1:11" ht="89.25" x14ac:dyDescent="0.25">
      <c r="A61" s="12" t="s">
        <v>314</v>
      </c>
      <c r="B61" s="13" t="s">
        <v>25</v>
      </c>
      <c r="C61" s="14" t="s">
        <v>51</v>
      </c>
      <c r="D61" s="13" t="s">
        <v>315</v>
      </c>
      <c r="E61" s="13" t="s">
        <v>316</v>
      </c>
      <c r="F61" s="14" t="s">
        <v>68</v>
      </c>
      <c r="G61" s="14" t="s">
        <v>317</v>
      </c>
      <c r="H61" s="14" t="s">
        <v>8</v>
      </c>
      <c r="I61" s="14" t="str">
        <f t="shared" si="1"/>
        <v>✔</v>
      </c>
      <c r="J61" s="13" t="s">
        <v>318</v>
      </c>
      <c r="K61" s="13"/>
    </row>
    <row r="62" spans="1:11" ht="76.5" x14ac:dyDescent="0.25">
      <c r="A62" s="12" t="s">
        <v>319</v>
      </c>
      <c r="B62" s="13" t="s">
        <v>26</v>
      </c>
      <c r="C62" s="14" t="s">
        <v>51</v>
      </c>
      <c r="D62" s="13" t="s">
        <v>320</v>
      </c>
      <c r="E62" s="13" t="s">
        <v>321</v>
      </c>
      <c r="F62" s="14" t="s">
        <v>54</v>
      </c>
      <c r="G62" s="14" t="s">
        <v>317</v>
      </c>
      <c r="H62" s="14" t="s">
        <v>8</v>
      </c>
      <c r="I62" s="14" t="str">
        <f t="shared" si="1"/>
        <v>✔</v>
      </c>
      <c r="J62" s="13" t="s">
        <v>322</v>
      </c>
      <c r="K62" s="13"/>
    </row>
    <row r="63" spans="1:11" ht="102" x14ac:dyDescent="0.25">
      <c r="A63" s="12" t="s">
        <v>323</v>
      </c>
      <c r="B63" s="13" t="s">
        <v>26</v>
      </c>
      <c r="C63" s="14" t="s">
        <v>51</v>
      </c>
      <c r="D63" s="13" t="s">
        <v>324</v>
      </c>
      <c r="E63" s="13" t="s">
        <v>325</v>
      </c>
      <c r="F63" s="14" t="s">
        <v>54</v>
      </c>
      <c r="G63" s="14" t="s">
        <v>235</v>
      </c>
      <c r="H63" s="14" t="s">
        <v>8</v>
      </c>
      <c r="I63" s="14" t="str">
        <f t="shared" si="1"/>
        <v>✔</v>
      </c>
      <c r="J63" s="13" t="s">
        <v>326</v>
      </c>
      <c r="K63" s="13" t="s">
        <v>327</v>
      </c>
    </row>
    <row r="64" spans="1:11" ht="63.75" x14ac:dyDescent="0.25">
      <c r="A64" s="12" t="s">
        <v>328</v>
      </c>
      <c r="B64" s="13" t="s">
        <v>26</v>
      </c>
      <c r="C64" s="14" t="s">
        <v>51</v>
      </c>
      <c r="D64" s="13" t="s">
        <v>329</v>
      </c>
      <c r="E64" s="13" t="s">
        <v>330</v>
      </c>
      <c r="F64" s="14" t="s">
        <v>68</v>
      </c>
      <c r="G64" s="14" t="s">
        <v>235</v>
      </c>
      <c r="H64" s="14" t="s">
        <v>8</v>
      </c>
      <c r="I64" s="14" t="str">
        <f t="shared" si="1"/>
        <v>✔</v>
      </c>
      <c r="J64" s="13" t="s">
        <v>331</v>
      </c>
      <c r="K64" s="13"/>
    </row>
    <row r="65" spans="1:11" ht="63.75" x14ac:dyDescent="0.25">
      <c r="A65" s="12" t="s">
        <v>332</v>
      </c>
      <c r="B65" s="13" t="s">
        <v>26</v>
      </c>
      <c r="C65" s="14" t="s">
        <v>51</v>
      </c>
      <c r="D65" s="13" t="s">
        <v>333</v>
      </c>
      <c r="E65" s="13" t="s">
        <v>334</v>
      </c>
      <c r="F65" s="14" t="s">
        <v>68</v>
      </c>
      <c r="G65" s="14" t="s">
        <v>235</v>
      </c>
      <c r="H65" s="14" t="s">
        <v>8</v>
      </c>
      <c r="I65" s="14" t="str">
        <f t="shared" si="1"/>
        <v>✔</v>
      </c>
      <c r="J65" s="13" t="s">
        <v>335</v>
      </c>
      <c r="K65" s="13"/>
    </row>
    <row r="66" spans="1:11" ht="89.25" x14ac:dyDescent="0.25">
      <c r="A66" s="12" t="s">
        <v>336</v>
      </c>
      <c r="B66" s="13" t="s">
        <v>27</v>
      </c>
      <c r="C66" s="14" t="s">
        <v>51</v>
      </c>
      <c r="D66" s="13" t="s">
        <v>337</v>
      </c>
      <c r="E66" s="13" t="s">
        <v>338</v>
      </c>
      <c r="F66" s="14" t="s">
        <v>54</v>
      </c>
      <c r="G66" s="14" t="s">
        <v>317</v>
      </c>
      <c r="H66" s="14" t="s">
        <v>8</v>
      </c>
      <c r="I66" s="14" t="str">
        <f t="shared" ref="I66:I97" si="2">IF(H66="Karşılandı","✔",IF(H66="Kısmi","◐",IF(H66="Karşılanmadı","✖","")))</f>
        <v>✔</v>
      </c>
      <c r="J66" s="13" t="s">
        <v>339</v>
      </c>
      <c r="K66" s="13"/>
    </row>
    <row r="67" spans="1:11" ht="63.75" x14ac:dyDescent="0.25">
      <c r="A67" s="12" t="s">
        <v>340</v>
      </c>
      <c r="B67" s="13" t="s">
        <v>27</v>
      </c>
      <c r="C67" s="14" t="s">
        <v>51</v>
      </c>
      <c r="D67" s="13" t="s">
        <v>341</v>
      </c>
      <c r="E67" s="13" t="s">
        <v>342</v>
      </c>
      <c r="F67" s="14" t="s">
        <v>54</v>
      </c>
      <c r="G67" s="14" t="s">
        <v>55</v>
      </c>
      <c r="H67" s="14" t="s">
        <v>8</v>
      </c>
      <c r="I67" s="14" t="str">
        <f t="shared" si="2"/>
        <v>✔</v>
      </c>
      <c r="J67" s="13" t="s">
        <v>343</v>
      </c>
      <c r="K67" s="13"/>
    </row>
    <row r="68" spans="1:11" ht="89.25" x14ac:dyDescent="0.25">
      <c r="A68" s="12" t="s">
        <v>344</v>
      </c>
      <c r="B68" s="13" t="s">
        <v>27</v>
      </c>
      <c r="C68" s="14" t="s">
        <v>51</v>
      </c>
      <c r="D68" s="13" t="s">
        <v>345</v>
      </c>
      <c r="E68" s="13" t="s">
        <v>346</v>
      </c>
      <c r="F68" s="14" t="s">
        <v>68</v>
      </c>
      <c r="G68" s="14" t="s">
        <v>55</v>
      </c>
      <c r="H68" s="14" t="s">
        <v>8</v>
      </c>
      <c r="I68" s="14" t="str">
        <f t="shared" si="2"/>
        <v>✔</v>
      </c>
      <c r="J68" s="13" t="s">
        <v>347</v>
      </c>
      <c r="K68" s="13"/>
    </row>
    <row r="69" spans="1:11" ht="76.5" x14ac:dyDescent="0.25">
      <c r="A69" s="12" t="s">
        <v>348</v>
      </c>
      <c r="B69" s="13" t="s">
        <v>27</v>
      </c>
      <c r="C69" s="14" t="s">
        <v>51</v>
      </c>
      <c r="D69" s="13" t="s">
        <v>349</v>
      </c>
      <c r="E69" s="13" t="s">
        <v>350</v>
      </c>
      <c r="F69" s="14" t="s">
        <v>68</v>
      </c>
      <c r="G69" s="14" t="s">
        <v>317</v>
      </c>
      <c r="H69" s="14" t="s">
        <v>8</v>
      </c>
      <c r="I69" s="14" t="str">
        <f t="shared" si="2"/>
        <v>✔</v>
      </c>
      <c r="J69" s="13" t="s">
        <v>351</v>
      </c>
      <c r="K69" s="13" t="s">
        <v>352</v>
      </c>
    </row>
    <row r="70" spans="1:11" ht="38.25" x14ac:dyDescent="0.25">
      <c r="A70" s="12" t="s">
        <v>353</v>
      </c>
      <c r="B70" s="13" t="s">
        <v>27</v>
      </c>
      <c r="C70" s="14" t="s">
        <v>98</v>
      </c>
      <c r="D70" s="13" t="s">
        <v>354</v>
      </c>
      <c r="E70" s="13" t="s">
        <v>355</v>
      </c>
      <c r="F70" s="14" t="s">
        <v>266</v>
      </c>
      <c r="G70" s="14" t="s">
        <v>55</v>
      </c>
      <c r="H70" s="14" t="s">
        <v>8</v>
      </c>
      <c r="I70" s="14" t="str">
        <f t="shared" si="2"/>
        <v>✔</v>
      </c>
      <c r="J70" s="13" t="s">
        <v>356</v>
      </c>
      <c r="K70" s="13"/>
    </row>
    <row r="71" spans="1:11" ht="63.75" x14ac:dyDescent="0.25">
      <c r="A71" s="12" t="s">
        <v>357</v>
      </c>
      <c r="B71" s="13" t="s">
        <v>27</v>
      </c>
      <c r="C71" s="14" t="s">
        <v>51</v>
      </c>
      <c r="D71" s="13" t="s">
        <v>358</v>
      </c>
      <c r="E71" s="13" t="s">
        <v>359</v>
      </c>
      <c r="F71" s="14" t="s">
        <v>68</v>
      </c>
      <c r="G71" s="14" t="s">
        <v>55</v>
      </c>
      <c r="H71" s="14" t="s">
        <v>8</v>
      </c>
      <c r="I71" s="14" t="str">
        <f t="shared" si="2"/>
        <v>✔</v>
      </c>
      <c r="J71" s="13" t="s">
        <v>360</v>
      </c>
      <c r="K71" s="13"/>
    </row>
    <row r="72" spans="1:11" ht="178.5" x14ac:dyDescent="0.25">
      <c r="A72" s="12" t="s">
        <v>361</v>
      </c>
      <c r="B72" s="13" t="s">
        <v>28</v>
      </c>
      <c r="C72" s="14" t="s">
        <v>51</v>
      </c>
      <c r="D72" s="13" t="s">
        <v>362</v>
      </c>
      <c r="E72" s="13" t="s">
        <v>363</v>
      </c>
      <c r="F72" s="14" t="s">
        <v>68</v>
      </c>
      <c r="G72" s="14" t="s">
        <v>317</v>
      </c>
      <c r="H72" s="14" t="s">
        <v>8</v>
      </c>
      <c r="I72" s="14" t="str">
        <f t="shared" si="2"/>
        <v>✔</v>
      </c>
      <c r="J72" s="13" t="s">
        <v>364</v>
      </c>
      <c r="K72" s="13"/>
    </row>
    <row r="73" spans="1:11" ht="89.25" x14ac:dyDescent="0.25">
      <c r="A73" s="12" t="s">
        <v>365</v>
      </c>
      <c r="B73" s="13" t="s">
        <v>28</v>
      </c>
      <c r="C73" s="14" t="s">
        <v>51</v>
      </c>
      <c r="D73" s="13" t="s">
        <v>366</v>
      </c>
      <c r="E73" s="13" t="s">
        <v>367</v>
      </c>
      <c r="F73" s="14" t="s">
        <v>68</v>
      </c>
      <c r="G73" s="14" t="s">
        <v>55</v>
      </c>
      <c r="H73" s="14" t="s">
        <v>8</v>
      </c>
      <c r="I73" s="14" t="str">
        <f t="shared" si="2"/>
        <v>✔</v>
      </c>
      <c r="J73" s="13" t="s">
        <v>368</v>
      </c>
      <c r="K73" s="13"/>
    </row>
    <row r="74" spans="1:11" ht="127.5" x14ac:dyDescent="0.25">
      <c r="A74" s="12" t="s">
        <v>369</v>
      </c>
      <c r="B74" s="13" t="s">
        <v>28</v>
      </c>
      <c r="C74" s="14" t="s">
        <v>51</v>
      </c>
      <c r="D74" s="13" t="s">
        <v>370</v>
      </c>
      <c r="E74" s="13" t="s">
        <v>371</v>
      </c>
      <c r="F74" s="14" t="s">
        <v>68</v>
      </c>
      <c r="G74" s="14" t="s">
        <v>55</v>
      </c>
      <c r="H74" s="14" t="s">
        <v>8</v>
      </c>
      <c r="I74" s="14" t="str">
        <f t="shared" si="2"/>
        <v>✔</v>
      </c>
      <c r="J74" s="13" t="s">
        <v>372</v>
      </c>
      <c r="K74" s="13"/>
    </row>
    <row r="75" spans="1:11" ht="102" x14ac:dyDescent="0.25">
      <c r="A75" s="12" t="s">
        <v>373</v>
      </c>
      <c r="B75" s="13" t="s">
        <v>29</v>
      </c>
      <c r="C75" s="14" t="s">
        <v>51</v>
      </c>
      <c r="D75" s="13" t="s">
        <v>374</v>
      </c>
      <c r="E75" s="13" t="s">
        <v>375</v>
      </c>
      <c r="F75" s="14" t="s">
        <v>54</v>
      </c>
      <c r="G75" s="14" t="s">
        <v>55</v>
      </c>
      <c r="H75" s="14" t="s">
        <v>8</v>
      </c>
      <c r="I75" s="14" t="str">
        <f t="shared" si="2"/>
        <v>✔</v>
      </c>
      <c r="J75" s="13" t="s">
        <v>376</v>
      </c>
      <c r="K75" s="13"/>
    </row>
    <row r="76" spans="1:11" ht="89.25" x14ac:dyDescent="0.25">
      <c r="A76" s="12" t="s">
        <v>377</v>
      </c>
      <c r="B76" s="13" t="s">
        <v>29</v>
      </c>
      <c r="C76" s="14" t="s">
        <v>75</v>
      </c>
      <c r="D76" s="13" t="s">
        <v>378</v>
      </c>
      <c r="E76" s="13" t="s">
        <v>379</v>
      </c>
      <c r="F76" s="14" t="s">
        <v>68</v>
      </c>
      <c r="G76" s="14" t="s">
        <v>55</v>
      </c>
      <c r="H76" s="14" t="s">
        <v>8</v>
      </c>
      <c r="I76" s="14" t="str">
        <f t="shared" si="2"/>
        <v>✔</v>
      </c>
      <c r="J76" s="13" t="s">
        <v>380</v>
      </c>
      <c r="K76" s="13"/>
    </row>
    <row r="77" spans="1:11" ht="63.75" x14ac:dyDescent="0.25">
      <c r="A77" s="12" t="s">
        <v>381</v>
      </c>
      <c r="B77" s="13" t="s">
        <v>29</v>
      </c>
      <c r="C77" s="14" t="s">
        <v>75</v>
      </c>
      <c r="D77" s="13" t="s">
        <v>382</v>
      </c>
      <c r="E77" s="13" t="s">
        <v>383</v>
      </c>
      <c r="F77" s="14" t="s">
        <v>68</v>
      </c>
      <c r="G77" s="14" t="s">
        <v>55</v>
      </c>
      <c r="H77" s="14" t="s">
        <v>8</v>
      </c>
      <c r="I77" s="14" t="str">
        <f t="shared" si="2"/>
        <v>✔</v>
      </c>
      <c r="J77" s="13" t="s">
        <v>384</v>
      </c>
      <c r="K77" s="13" t="s">
        <v>385</v>
      </c>
    </row>
    <row r="78" spans="1:11" ht="63.75" x14ac:dyDescent="0.25">
      <c r="A78" s="12" t="s">
        <v>386</v>
      </c>
      <c r="B78" s="13" t="s">
        <v>30</v>
      </c>
      <c r="C78" s="14" t="s">
        <v>51</v>
      </c>
      <c r="D78" s="13" t="s">
        <v>387</v>
      </c>
      <c r="E78" s="13" t="s">
        <v>388</v>
      </c>
      <c r="F78" s="14" t="s">
        <v>54</v>
      </c>
      <c r="G78" s="14" t="s">
        <v>55</v>
      </c>
      <c r="H78" s="14" t="s">
        <v>8</v>
      </c>
      <c r="I78" s="14" t="str">
        <f t="shared" si="2"/>
        <v>✔</v>
      </c>
      <c r="J78" s="13" t="s">
        <v>389</v>
      </c>
      <c r="K78" s="13" t="s">
        <v>390</v>
      </c>
    </row>
    <row r="79" spans="1:11" ht="89.25" x14ac:dyDescent="0.25">
      <c r="A79" s="12" t="s">
        <v>391</v>
      </c>
      <c r="B79" s="13" t="s">
        <v>30</v>
      </c>
      <c r="C79" s="14" t="s">
        <v>51</v>
      </c>
      <c r="D79" s="13" t="s">
        <v>392</v>
      </c>
      <c r="E79" s="13" t="s">
        <v>393</v>
      </c>
      <c r="F79" s="14" t="s">
        <v>68</v>
      </c>
      <c r="G79" s="14" t="s">
        <v>55</v>
      </c>
      <c r="H79" s="14" t="s">
        <v>8</v>
      </c>
      <c r="I79" s="14" t="str">
        <f t="shared" si="2"/>
        <v>✔</v>
      </c>
      <c r="J79" s="13" t="s">
        <v>394</v>
      </c>
      <c r="K79" s="13"/>
    </row>
    <row r="80" spans="1:11" ht="102" x14ac:dyDescent="0.25">
      <c r="A80" s="12" t="s">
        <v>395</v>
      </c>
      <c r="B80" s="13" t="s">
        <v>30</v>
      </c>
      <c r="C80" s="14" t="s">
        <v>98</v>
      </c>
      <c r="D80" s="13" t="s">
        <v>396</v>
      </c>
      <c r="E80" s="13" t="s">
        <v>397</v>
      </c>
      <c r="F80" s="14" t="s">
        <v>68</v>
      </c>
      <c r="G80" s="14" t="s">
        <v>55</v>
      </c>
      <c r="H80" s="14" t="s">
        <v>8</v>
      </c>
      <c r="I80" s="14" t="str">
        <f t="shared" si="2"/>
        <v>✔</v>
      </c>
      <c r="J80" s="13" t="s">
        <v>398</v>
      </c>
      <c r="K80" s="13" t="s">
        <v>399</v>
      </c>
    </row>
    <row r="81" spans="1:11" ht="114.75" x14ac:dyDescent="0.25">
      <c r="A81" s="12" t="s">
        <v>400</v>
      </c>
      <c r="B81" s="13" t="s">
        <v>31</v>
      </c>
      <c r="C81" s="14" t="s">
        <v>51</v>
      </c>
      <c r="D81" s="13" t="s">
        <v>401</v>
      </c>
      <c r="E81" s="13" t="s">
        <v>402</v>
      </c>
      <c r="F81" s="14" t="s">
        <v>54</v>
      </c>
      <c r="G81" s="14" t="s">
        <v>317</v>
      </c>
      <c r="H81" s="14" t="s">
        <v>8</v>
      </c>
      <c r="I81" s="14" t="str">
        <f t="shared" si="2"/>
        <v>✔</v>
      </c>
      <c r="J81" s="13" t="s">
        <v>403</v>
      </c>
      <c r="K81" s="13"/>
    </row>
    <row r="82" spans="1:11" ht="63.75" x14ac:dyDescent="0.25">
      <c r="A82" s="12" t="s">
        <v>404</v>
      </c>
      <c r="B82" s="13" t="s">
        <v>31</v>
      </c>
      <c r="C82" s="14" t="s">
        <v>89</v>
      </c>
      <c r="D82" s="13" t="s">
        <v>405</v>
      </c>
      <c r="E82" s="13" t="s">
        <v>406</v>
      </c>
      <c r="F82" s="14" t="s">
        <v>68</v>
      </c>
      <c r="G82" s="14" t="s">
        <v>317</v>
      </c>
      <c r="H82" s="14" t="s">
        <v>8</v>
      </c>
      <c r="I82" s="14" t="str">
        <f t="shared" si="2"/>
        <v>✔</v>
      </c>
      <c r="J82" s="13" t="s">
        <v>407</v>
      </c>
      <c r="K82" s="13"/>
    </row>
    <row r="83" spans="1:11" ht="178.5" x14ac:dyDescent="0.25">
      <c r="A83" s="12" t="s">
        <v>408</v>
      </c>
      <c r="B83" s="13" t="s">
        <v>31</v>
      </c>
      <c r="C83" s="14" t="s">
        <v>98</v>
      </c>
      <c r="D83" s="13" t="s">
        <v>409</v>
      </c>
      <c r="E83" s="13" t="s">
        <v>410</v>
      </c>
      <c r="F83" s="14" t="s">
        <v>68</v>
      </c>
      <c r="G83" s="14" t="s">
        <v>55</v>
      </c>
      <c r="H83" s="14" t="s">
        <v>8</v>
      </c>
      <c r="I83" s="14" t="str">
        <f t="shared" si="2"/>
        <v>✔</v>
      </c>
      <c r="J83" s="13" t="s">
        <v>411</v>
      </c>
      <c r="K83" s="13"/>
    </row>
    <row r="84" spans="1:11" ht="51" x14ac:dyDescent="0.25">
      <c r="A84" s="12" t="s">
        <v>412</v>
      </c>
      <c r="B84" s="13" t="s">
        <v>31</v>
      </c>
      <c r="C84" s="14" t="s">
        <v>89</v>
      </c>
      <c r="D84" s="13" t="s">
        <v>413</v>
      </c>
      <c r="E84" s="13" t="s">
        <v>414</v>
      </c>
      <c r="F84" s="14" t="s">
        <v>266</v>
      </c>
      <c r="G84" s="14" t="s">
        <v>55</v>
      </c>
      <c r="H84" s="14" t="s">
        <v>8</v>
      </c>
      <c r="I84" s="14" t="str">
        <f t="shared" si="2"/>
        <v>✔</v>
      </c>
      <c r="J84" s="13" t="s">
        <v>415</v>
      </c>
      <c r="K84" s="13"/>
    </row>
    <row r="85" spans="1:11" ht="51" x14ac:dyDescent="0.25">
      <c r="A85" s="12" t="s">
        <v>416</v>
      </c>
      <c r="B85" s="13" t="s">
        <v>31</v>
      </c>
      <c r="C85" s="14" t="s">
        <v>51</v>
      </c>
      <c r="D85" s="13" t="s">
        <v>417</v>
      </c>
      <c r="E85" s="13" t="s">
        <v>418</v>
      </c>
      <c r="F85" s="14" t="s">
        <v>54</v>
      </c>
      <c r="G85" s="14" t="s">
        <v>317</v>
      </c>
      <c r="H85" s="14" t="s">
        <v>8</v>
      </c>
      <c r="I85" s="14" t="str">
        <f t="shared" si="2"/>
        <v>✔</v>
      </c>
      <c r="J85" s="13" t="s">
        <v>419</v>
      </c>
      <c r="K85" s="13"/>
    </row>
    <row r="86" spans="1:11" ht="51" x14ac:dyDescent="0.25">
      <c r="A86" s="12" t="s">
        <v>420</v>
      </c>
      <c r="B86" s="13" t="s">
        <v>31</v>
      </c>
      <c r="C86" s="14" t="s">
        <v>46</v>
      </c>
      <c r="D86" s="13" t="s">
        <v>421</v>
      </c>
      <c r="E86" s="13" t="s">
        <v>422</v>
      </c>
      <c r="F86" s="14" t="s">
        <v>68</v>
      </c>
      <c r="G86" s="14" t="s">
        <v>55</v>
      </c>
      <c r="H86" s="14" t="s">
        <v>8</v>
      </c>
      <c r="I86" s="14" t="str">
        <f t="shared" si="2"/>
        <v>✔</v>
      </c>
      <c r="J86" s="13" t="s">
        <v>423</v>
      </c>
      <c r="K86" s="13"/>
    </row>
    <row r="87" spans="1:11" ht="51" x14ac:dyDescent="0.25">
      <c r="A87" s="12" t="s">
        <v>424</v>
      </c>
      <c r="B87" s="13" t="s">
        <v>31</v>
      </c>
      <c r="C87" s="14" t="s">
        <v>51</v>
      </c>
      <c r="D87" s="13" t="s">
        <v>425</v>
      </c>
      <c r="E87" s="13" t="s">
        <v>426</v>
      </c>
      <c r="F87" s="14" t="s">
        <v>68</v>
      </c>
      <c r="G87" s="14" t="s">
        <v>197</v>
      </c>
      <c r="H87" s="14" t="s">
        <v>8</v>
      </c>
      <c r="I87" s="14" t="str">
        <f t="shared" si="2"/>
        <v>✔</v>
      </c>
      <c r="J87" s="13" t="s">
        <v>427</v>
      </c>
      <c r="K87" s="13"/>
    </row>
    <row r="88" spans="1:11" ht="51" x14ac:dyDescent="0.25">
      <c r="A88" s="12" t="s">
        <v>428</v>
      </c>
      <c r="B88" s="13" t="s">
        <v>32</v>
      </c>
      <c r="C88" s="14" t="s">
        <v>51</v>
      </c>
      <c r="D88" s="13" t="s">
        <v>429</v>
      </c>
      <c r="E88" s="13" t="s">
        <v>430</v>
      </c>
      <c r="F88" s="14" t="s">
        <v>68</v>
      </c>
      <c r="G88" s="14" t="s">
        <v>55</v>
      </c>
      <c r="H88" s="14" t="s">
        <v>8</v>
      </c>
      <c r="I88" s="14" t="str">
        <f t="shared" si="2"/>
        <v>✔</v>
      </c>
      <c r="J88" s="13" t="s">
        <v>431</v>
      </c>
      <c r="K88" s="13"/>
    </row>
    <row r="89" spans="1:11" ht="51" x14ac:dyDescent="0.25">
      <c r="A89" s="12" t="s">
        <v>432</v>
      </c>
      <c r="B89" s="13" t="s">
        <v>32</v>
      </c>
      <c r="C89" s="14" t="s">
        <v>51</v>
      </c>
      <c r="D89" s="13" t="s">
        <v>433</v>
      </c>
      <c r="E89" s="13" t="s">
        <v>434</v>
      </c>
      <c r="F89" s="14" t="s">
        <v>54</v>
      </c>
      <c r="G89" s="14" t="s">
        <v>55</v>
      </c>
      <c r="H89" s="14" t="s">
        <v>8</v>
      </c>
      <c r="I89" s="14" t="str">
        <f t="shared" si="2"/>
        <v>✔</v>
      </c>
      <c r="J89" s="13" t="s">
        <v>435</v>
      </c>
      <c r="K89" s="13"/>
    </row>
    <row r="90" spans="1:11" ht="51" x14ac:dyDescent="0.25">
      <c r="A90" s="12" t="s">
        <v>436</v>
      </c>
      <c r="B90" s="13" t="s">
        <v>32</v>
      </c>
      <c r="C90" s="14" t="s">
        <v>51</v>
      </c>
      <c r="D90" s="13" t="s">
        <v>437</v>
      </c>
      <c r="E90" s="13" t="s">
        <v>438</v>
      </c>
      <c r="F90" s="14" t="s">
        <v>54</v>
      </c>
      <c r="G90" s="14" t="s">
        <v>55</v>
      </c>
      <c r="H90" s="14" t="s">
        <v>8</v>
      </c>
      <c r="I90" s="14" t="str">
        <f t="shared" si="2"/>
        <v>✔</v>
      </c>
      <c r="J90" s="13" t="s">
        <v>439</v>
      </c>
      <c r="K90" s="13"/>
    </row>
    <row r="91" spans="1:11" ht="63.75" x14ac:dyDescent="0.25">
      <c r="A91" s="12" t="s">
        <v>440</v>
      </c>
      <c r="B91" s="13" t="s">
        <v>32</v>
      </c>
      <c r="C91" s="14" t="s">
        <v>51</v>
      </c>
      <c r="D91" s="13" t="s">
        <v>441</v>
      </c>
      <c r="E91" s="13" t="s">
        <v>442</v>
      </c>
      <c r="F91" s="14" t="s">
        <v>54</v>
      </c>
      <c r="G91" s="14" t="s">
        <v>55</v>
      </c>
      <c r="H91" s="14" t="s">
        <v>8</v>
      </c>
      <c r="I91" s="14" t="str">
        <f t="shared" si="2"/>
        <v>✔</v>
      </c>
      <c r="J91" s="13" t="s">
        <v>443</v>
      </c>
      <c r="K91" s="13"/>
    </row>
    <row r="92" spans="1:11" ht="25.5" x14ac:dyDescent="0.25">
      <c r="A92" s="12" t="s">
        <v>444</v>
      </c>
      <c r="B92" s="13" t="s">
        <v>32</v>
      </c>
      <c r="C92" s="14" t="s">
        <v>51</v>
      </c>
      <c r="D92" s="13" t="s">
        <v>445</v>
      </c>
      <c r="E92" s="13" t="s">
        <v>446</v>
      </c>
      <c r="F92" s="14" t="s">
        <v>68</v>
      </c>
      <c r="G92" s="14" t="s">
        <v>55</v>
      </c>
      <c r="H92" s="14" t="s">
        <v>8</v>
      </c>
      <c r="I92" s="14" t="str">
        <f t="shared" si="2"/>
        <v>✔</v>
      </c>
      <c r="J92" s="13" t="s">
        <v>447</v>
      </c>
      <c r="K92" s="13"/>
    </row>
    <row r="93" spans="1:11" ht="76.5" x14ac:dyDescent="0.25">
      <c r="A93" s="12" t="s">
        <v>448</v>
      </c>
      <c r="B93" s="13" t="s">
        <v>33</v>
      </c>
      <c r="C93" s="14" t="s">
        <v>51</v>
      </c>
      <c r="D93" s="13" t="s">
        <v>449</v>
      </c>
      <c r="E93" s="13" t="s">
        <v>450</v>
      </c>
      <c r="F93" s="14" t="s">
        <v>54</v>
      </c>
      <c r="G93" s="14" t="s">
        <v>235</v>
      </c>
      <c r="H93" s="14" t="s">
        <v>8</v>
      </c>
      <c r="I93" s="14" t="str">
        <f t="shared" si="2"/>
        <v>✔</v>
      </c>
      <c r="J93" s="13" t="s">
        <v>451</v>
      </c>
      <c r="K93" s="13"/>
    </row>
    <row r="94" spans="1:11" ht="25.5" x14ac:dyDescent="0.25">
      <c r="A94" s="12" t="s">
        <v>452</v>
      </c>
      <c r="B94" s="13" t="s">
        <v>33</v>
      </c>
      <c r="C94" s="14" t="s">
        <v>51</v>
      </c>
      <c r="D94" s="13" t="s">
        <v>453</v>
      </c>
      <c r="E94" s="13" t="s">
        <v>454</v>
      </c>
      <c r="F94" s="14" t="s">
        <v>54</v>
      </c>
      <c r="G94" s="14" t="s">
        <v>55</v>
      </c>
      <c r="H94" s="14" t="s">
        <v>8</v>
      </c>
      <c r="I94" s="14" t="str">
        <f t="shared" si="2"/>
        <v>✔</v>
      </c>
      <c r="J94" s="13" t="s">
        <v>455</v>
      </c>
      <c r="K94" s="13"/>
    </row>
    <row r="95" spans="1:11" ht="63.75" x14ac:dyDescent="0.25">
      <c r="A95" s="12" t="s">
        <v>456</v>
      </c>
      <c r="B95" s="13" t="s">
        <v>33</v>
      </c>
      <c r="C95" s="14" t="s">
        <v>75</v>
      </c>
      <c r="D95" s="13" t="s">
        <v>457</v>
      </c>
      <c r="E95" s="13" t="s">
        <v>458</v>
      </c>
      <c r="F95" s="14" t="s">
        <v>54</v>
      </c>
      <c r="G95" s="14" t="s">
        <v>55</v>
      </c>
      <c r="H95" s="14" t="s">
        <v>8</v>
      </c>
      <c r="I95" s="14" t="str">
        <f t="shared" si="2"/>
        <v>✔</v>
      </c>
      <c r="J95" s="13" t="s">
        <v>459</v>
      </c>
      <c r="K95" s="13"/>
    </row>
    <row r="96" spans="1:11" ht="38.25" x14ac:dyDescent="0.25">
      <c r="A96" s="12" t="s">
        <v>460</v>
      </c>
      <c r="B96" s="13" t="s">
        <v>33</v>
      </c>
      <c r="C96" s="14" t="s">
        <v>51</v>
      </c>
      <c r="D96" s="13" t="s">
        <v>461</v>
      </c>
      <c r="E96" s="13" t="s">
        <v>462</v>
      </c>
      <c r="F96" s="14" t="s">
        <v>54</v>
      </c>
      <c r="G96" s="14" t="s">
        <v>235</v>
      </c>
      <c r="H96" s="14" t="s">
        <v>8</v>
      </c>
      <c r="I96" s="14" t="str">
        <f t="shared" si="2"/>
        <v>✔</v>
      </c>
      <c r="J96" s="13" t="s">
        <v>463</v>
      </c>
      <c r="K96" s="13"/>
    </row>
    <row r="97" spans="1:11" ht="76.5" x14ac:dyDescent="0.25">
      <c r="A97" s="12" t="s">
        <v>464</v>
      </c>
      <c r="B97" s="13" t="s">
        <v>33</v>
      </c>
      <c r="C97" s="14" t="s">
        <v>51</v>
      </c>
      <c r="D97" s="13" t="s">
        <v>465</v>
      </c>
      <c r="E97" s="13" t="s">
        <v>466</v>
      </c>
      <c r="F97" s="14" t="s">
        <v>54</v>
      </c>
      <c r="G97" s="14" t="s">
        <v>235</v>
      </c>
      <c r="H97" s="14" t="s">
        <v>8</v>
      </c>
      <c r="I97" s="14" t="str">
        <f t="shared" si="2"/>
        <v>✔</v>
      </c>
      <c r="J97" s="13" t="s">
        <v>467</v>
      </c>
      <c r="K97" s="13"/>
    </row>
    <row r="98" spans="1:11" ht="38.25" x14ac:dyDescent="0.25">
      <c r="A98" s="12" t="s">
        <v>468</v>
      </c>
      <c r="B98" s="13" t="s">
        <v>33</v>
      </c>
      <c r="C98" s="14" t="s">
        <v>51</v>
      </c>
      <c r="D98" s="13" t="s">
        <v>469</v>
      </c>
      <c r="E98" s="13" t="s">
        <v>470</v>
      </c>
      <c r="F98" s="14" t="s">
        <v>68</v>
      </c>
      <c r="G98" s="14" t="s">
        <v>235</v>
      </c>
      <c r="H98" s="14" t="s">
        <v>9</v>
      </c>
      <c r="I98" s="14" t="str">
        <f t="shared" ref="I98:I129" si="3">IF(H98="Karşılandı","✔",IF(H98="Kısmi","◐",IF(H98="Karşılanmadı","✖","")))</f>
        <v>◐</v>
      </c>
      <c r="J98" s="13" t="s">
        <v>471</v>
      </c>
      <c r="K98" s="13" t="s">
        <v>472</v>
      </c>
    </row>
  </sheetData>
  <autoFilter ref="A1:K98" xr:uid="{00000000-0009-0000-0000-000001000000}"/>
  <conditionalFormatting sqref="A2:K98">
    <cfRule type="expression" dxfId="3" priority="1">
      <formula>$H2="Karşılandı"</formula>
    </cfRule>
    <cfRule type="expression" dxfId="2" priority="2">
      <formula>$H2="Kısmi"</formula>
    </cfRule>
    <cfRule type="expression" dxfId="1" priority="3">
      <formula>$H2="Karşılanmadı"</formula>
    </cfRule>
    <cfRule type="expression" dxfId="0" priority="4">
      <formula>$H2="Kapsam dışı"</formula>
    </cfRule>
  </conditionalFormatting>
  <dataValidations count="2">
    <dataValidation type="list" errorTitle="Geçersiz durum" error="Listeden bir durum seçin." sqref="H2:H98" xr:uid="{00000000-0002-0000-0100-000000000000}">
      <formula1>"Bekliyor,Karşılandı,Kısmi,Karşılanmadı,Kapsam dışı"</formula1>
    </dataValidation>
    <dataValidation type="list" sqref="F2:F98" xr:uid="{00000000-0002-0000-0100-000001000000}">
      <formula1>"Zorunlu,Önemli,İsteğe bağlı"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cols>
    <col min="1" max="1" width="14" customWidth="1"/>
    <col min="2" max="2" width="58" customWidth="1"/>
    <col min="3" max="3" width="80" customWidth="1"/>
  </cols>
  <sheetData>
    <row r="1" spans="1:3" x14ac:dyDescent="0.25">
      <c r="A1" s="5" t="s">
        <v>473</v>
      </c>
      <c r="B1" s="5" t="s">
        <v>474</v>
      </c>
      <c r="C1" s="5" t="s">
        <v>475</v>
      </c>
    </row>
    <row r="2" spans="1:3" ht="25.5" x14ac:dyDescent="0.25">
      <c r="A2" s="15" t="s">
        <v>51</v>
      </c>
      <c r="B2" s="16" t="s">
        <v>476</v>
      </c>
      <c r="C2" s="16" t="s">
        <v>341</v>
      </c>
    </row>
    <row r="3" spans="1:3" ht="25.5" x14ac:dyDescent="0.25">
      <c r="A3" s="15" t="s">
        <v>98</v>
      </c>
      <c r="B3" s="16" t="s">
        <v>477</v>
      </c>
      <c r="C3" s="16" t="s">
        <v>99</v>
      </c>
    </row>
    <row r="4" spans="1:3" ht="25.5" x14ac:dyDescent="0.25">
      <c r="A4" s="15" t="s">
        <v>46</v>
      </c>
      <c r="B4" s="16" t="s">
        <v>478</v>
      </c>
      <c r="C4" s="16" t="s">
        <v>421</v>
      </c>
    </row>
    <row r="5" spans="1:3" ht="25.5" x14ac:dyDescent="0.25">
      <c r="A5" s="15" t="s">
        <v>75</v>
      </c>
      <c r="B5" s="16" t="s">
        <v>479</v>
      </c>
      <c r="C5" s="16" t="s">
        <v>162</v>
      </c>
    </row>
    <row r="6" spans="1:3" ht="25.5" x14ac:dyDescent="0.25">
      <c r="A6" s="15" t="s">
        <v>89</v>
      </c>
      <c r="B6" s="16" t="s">
        <v>480</v>
      </c>
      <c r="C6" s="16" t="s">
        <v>111</v>
      </c>
    </row>
    <row r="8" spans="1:3" x14ac:dyDescent="0.25">
      <c r="A8" s="17" t="s">
        <v>481</v>
      </c>
    </row>
    <row r="9" spans="1:3" x14ac:dyDescent="0.25">
      <c r="A9" s="18" t="s">
        <v>482</v>
      </c>
    </row>
    <row r="10" spans="1:3" x14ac:dyDescent="0.25">
      <c r="A10" s="18" t="s">
        <v>483</v>
      </c>
    </row>
    <row r="11" spans="1:3" x14ac:dyDescent="0.25">
      <c r="A11" s="18" t="s">
        <v>484</v>
      </c>
    </row>
    <row r="12" spans="1:3" x14ac:dyDescent="0.25">
      <c r="A12" s="18" t="s">
        <v>485</v>
      </c>
    </row>
    <row r="13" spans="1:3" x14ac:dyDescent="0.25">
      <c r="A13" s="18" t="s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5" x14ac:dyDescent="0.25"/>
  <cols>
    <col min="1" max="1" width="24" customWidth="1"/>
    <col min="2" max="2" width="100" customWidth="1"/>
  </cols>
  <sheetData>
    <row r="1" spans="1:2" x14ac:dyDescent="0.25">
      <c r="A1" s="5" t="s">
        <v>487</v>
      </c>
      <c r="B1" s="5" t="s">
        <v>488</v>
      </c>
    </row>
    <row r="2" spans="1:2" x14ac:dyDescent="0.25">
      <c r="A2" s="15" t="s">
        <v>489</v>
      </c>
      <c r="B2" s="16" t="s">
        <v>490</v>
      </c>
    </row>
    <row r="3" spans="1:2" x14ac:dyDescent="0.25">
      <c r="A3" s="15" t="s">
        <v>491</v>
      </c>
      <c r="B3" s="16" t="s">
        <v>492</v>
      </c>
    </row>
    <row r="4" spans="1:2" x14ac:dyDescent="0.25">
      <c r="A4" s="15" t="s">
        <v>493</v>
      </c>
      <c r="B4" s="16" t="s">
        <v>494</v>
      </c>
    </row>
    <row r="5" spans="1:2" x14ac:dyDescent="0.25">
      <c r="A5" s="15" t="s">
        <v>495</v>
      </c>
      <c r="B5" s="16" t="s">
        <v>496</v>
      </c>
    </row>
    <row r="6" spans="1:2" x14ac:dyDescent="0.25">
      <c r="A6" s="15" t="s">
        <v>497</v>
      </c>
      <c r="B6" s="16" t="s">
        <v>498</v>
      </c>
    </row>
    <row r="7" spans="1:2" x14ac:dyDescent="0.25">
      <c r="A7" s="15" t="s">
        <v>499</v>
      </c>
      <c r="B7" s="16" t="s">
        <v>500</v>
      </c>
    </row>
    <row r="8" spans="1:2" x14ac:dyDescent="0.25">
      <c r="A8" s="15" t="s">
        <v>501</v>
      </c>
      <c r="B8" s="16" t="s">
        <v>502</v>
      </c>
    </row>
    <row r="9" spans="1:2" x14ac:dyDescent="0.25">
      <c r="A9" s="15" t="s">
        <v>503</v>
      </c>
      <c r="B9" s="16" t="s">
        <v>504</v>
      </c>
    </row>
    <row r="10" spans="1:2" x14ac:dyDescent="0.25">
      <c r="A10" s="15" t="s">
        <v>505</v>
      </c>
      <c r="B10" s="16" t="s">
        <v>506</v>
      </c>
    </row>
    <row r="11" spans="1:2" x14ac:dyDescent="0.25">
      <c r="A11" s="15" t="s">
        <v>507</v>
      </c>
      <c r="B11" s="16" t="s">
        <v>508</v>
      </c>
    </row>
    <row r="12" spans="1:2" x14ac:dyDescent="0.25">
      <c r="A12" s="15" t="s">
        <v>509</v>
      </c>
      <c r="B12" s="16" t="s">
        <v>510</v>
      </c>
    </row>
    <row r="13" spans="1:2" x14ac:dyDescent="0.25">
      <c r="A13" s="15" t="s">
        <v>511</v>
      </c>
      <c r="B13" s="16" t="s">
        <v>512</v>
      </c>
    </row>
    <row r="14" spans="1:2" x14ac:dyDescent="0.25">
      <c r="A14" s="15" t="s">
        <v>513</v>
      </c>
      <c r="B14" s="16" t="s">
        <v>514</v>
      </c>
    </row>
    <row r="15" spans="1:2" x14ac:dyDescent="0.25">
      <c r="A15" s="15" t="s">
        <v>515</v>
      </c>
      <c r="B15" s="16" t="s">
        <v>516</v>
      </c>
    </row>
    <row r="16" spans="1:2" x14ac:dyDescent="0.25">
      <c r="A16" s="15" t="s">
        <v>517</v>
      </c>
      <c r="B16" s="16" t="s">
        <v>518</v>
      </c>
    </row>
    <row r="17" spans="1:2" ht="25.5" x14ac:dyDescent="0.25">
      <c r="A17" s="15" t="s">
        <v>519</v>
      </c>
      <c r="B17" s="16" t="s">
        <v>520</v>
      </c>
    </row>
    <row r="18" spans="1:2" x14ac:dyDescent="0.25">
      <c r="A18" s="15" t="s">
        <v>521</v>
      </c>
      <c r="B18" s="16" t="s">
        <v>522</v>
      </c>
    </row>
    <row r="19" spans="1:2" x14ac:dyDescent="0.25">
      <c r="A19" s="15" t="s">
        <v>523</v>
      </c>
      <c r="B19" s="16" t="s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0" customWidth="1"/>
    <col min="4" max="4" width="90" customWidth="1"/>
  </cols>
  <sheetData>
    <row r="1" spans="1:4" x14ac:dyDescent="0.25">
      <c r="A1" s="5" t="s">
        <v>525</v>
      </c>
      <c r="B1" s="5" t="s">
        <v>526</v>
      </c>
      <c r="C1" s="5" t="s">
        <v>527</v>
      </c>
      <c r="D1" s="5" t="s">
        <v>528</v>
      </c>
    </row>
    <row r="2" spans="1:4" x14ac:dyDescent="0.25">
      <c r="A2" s="16" t="s">
        <v>529</v>
      </c>
      <c r="B2" s="16" t="s">
        <v>530</v>
      </c>
      <c r="C2" s="16" t="s">
        <v>531</v>
      </c>
      <c r="D2" s="16" t="s">
        <v>532</v>
      </c>
    </row>
    <row r="3" spans="1:4" ht="25.5" x14ac:dyDescent="0.25">
      <c r="A3" s="16" t="s">
        <v>529</v>
      </c>
      <c r="B3" s="16" t="s">
        <v>533</v>
      </c>
      <c r="C3" s="16" t="s">
        <v>531</v>
      </c>
      <c r="D3" s="16" t="s">
        <v>534</v>
      </c>
    </row>
    <row r="4" spans="1:4" ht="63.75" x14ac:dyDescent="0.25">
      <c r="A4" s="16" t="s">
        <v>535</v>
      </c>
      <c r="B4" s="16" t="s">
        <v>536</v>
      </c>
      <c r="C4" s="16" t="s">
        <v>531</v>
      </c>
      <c r="D4" s="16" t="s">
        <v>537</v>
      </c>
    </row>
    <row r="5" spans="1:4" ht="63.75" x14ac:dyDescent="0.25">
      <c r="A5" s="16" t="s">
        <v>535</v>
      </c>
      <c r="B5" s="16" t="s">
        <v>536</v>
      </c>
      <c r="C5" s="16" t="s">
        <v>531</v>
      </c>
      <c r="D5" s="16" t="s">
        <v>538</v>
      </c>
    </row>
    <row r="6" spans="1:4" ht="51" x14ac:dyDescent="0.25">
      <c r="A6" s="16" t="s">
        <v>535</v>
      </c>
      <c r="B6" s="16" t="s">
        <v>536</v>
      </c>
      <c r="C6" s="16" t="s">
        <v>531</v>
      </c>
      <c r="D6" s="16" t="s">
        <v>539</v>
      </c>
    </row>
    <row r="7" spans="1:4" ht="76.5" x14ac:dyDescent="0.25">
      <c r="A7" s="16" t="s">
        <v>535</v>
      </c>
      <c r="B7" s="16" t="s">
        <v>536</v>
      </c>
      <c r="C7" s="16" t="s">
        <v>531</v>
      </c>
      <c r="D7" s="16" t="s">
        <v>540</v>
      </c>
    </row>
    <row r="8" spans="1:4" ht="38.25" x14ac:dyDescent="0.25">
      <c r="A8" s="16" t="s">
        <v>541</v>
      </c>
      <c r="B8" s="16" t="s">
        <v>542</v>
      </c>
      <c r="C8" s="16" t="s">
        <v>531</v>
      </c>
      <c r="D8" s="16" t="s">
        <v>543</v>
      </c>
    </row>
    <row r="9" spans="1:4" ht="51" x14ac:dyDescent="0.25">
      <c r="A9" s="16" t="s">
        <v>535</v>
      </c>
      <c r="B9" s="16" t="s">
        <v>536</v>
      </c>
      <c r="C9" s="16" t="s">
        <v>531</v>
      </c>
      <c r="D9" s="16" t="s">
        <v>544</v>
      </c>
    </row>
    <row r="10" spans="1:4" ht="38.25" x14ac:dyDescent="0.25">
      <c r="A10" s="16" t="s">
        <v>541</v>
      </c>
      <c r="B10" s="16" t="s">
        <v>545</v>
      </c>
      <c r="C10" s="16" t="s">
        <v>531</v>
      </c>
      <c r="D10" s="16" t="s">
        <v>546</v>
      </c>
    </row>
    <row r="11" spans="1:4" ht="51" x14ac:dyDescent="0.25">
      <c r="A11" s="16" t="s">
        <v>541</v>
      </c>
      <c r="B11" s="16" t="s">
        <v>547</v>
      </c>
      <c r="C11" s="16" t="s">
        <v>531</v>
      </c>
      <c r="D11" s="16" t="s">
        <v>548</v>
      </c>
    </row>
    <row r="12" spans="1:4" ht="63.75" x14ac:dyDescent="0.25">
      <c r="A12" s="16" t="s">
        <v>541</v>
      </c>
      <c r="B12" s="16" t="s">
        <v>547</v>
      </c>
      <c r="C12" s="16" t="s">
        <v>531</v>
      </c>
      <c r="D12" s="16" t="s">
        <v>549</v>
      </c>
    </row>
    <row r="13" spans="1:4" ht="89.25" x14ac:dyDescent="0.25">
      <c r="A13" s="16" t="s">
        <v>541</v>
      </c>
      <c r="B13" s="16" t="s">
        <v>547</v>
      </c>
      <c r="C13" s="16" t="s">
        <v>531</v>
      </c>
      <c r="D13" s="16" t="s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Özet</vt:lpstr>
      <vt:lpstr>İhtiyaçlar</vt:lpstr>
      <vt:lpstr>EARS Kalıpları</vt:lpstr>
      <vt:lpstr>Sözlük</vt:lpstr>
      <vt:lpstr>Değişiklik Geçmişi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Batur Alp AKDOĞAN</cp:lastModifiedBy>
  <dcterms:created xsi:type="dcterms:W3CDTF">2026-10-27T20:31:59Z</dcterms:created>
  <dcterms:modified xsi:type="dcterms:W3CDTF">2026-10-27T20:32:03Z</dcterms:modified>
</cp:coreProperties>
</file>